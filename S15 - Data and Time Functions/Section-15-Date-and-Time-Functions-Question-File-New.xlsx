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93A3A3FB-1813-49AB-ACFF-D63789C85B3C}" xr6:coauthVersionLast="47" xr6:coauthVersionMax="47" xr10:uidLastSave="{00000000-0000-0000-0000-000000000000}"/>
  <bookViews>
    <workbookView xWindow="-98" yWindow="-98" windowWidth="25846" windowHeight="15661" activeTab="3" xr2:uid="{7D65AE5E-B855-4ACF-991B-4713640FBF75}"/>
  </bookViews>
  <sheets>
    <sheet name="Date" sheetId="15" r:id="rId1"/>
    <sheet name="Time" sheetId="43" r:id="rId2"/>
    <sheet name="Days" sheetId="42" r:id="rId3"/>
    <sheet name="Employees" sheetId="46" r:id="rId4"/>
    <sheet name="IFS" sheetId="1" state="hidden" r:id="rId5"/>
  </sheets>
  <definedNames>
    <definedName name="_xlnm._FilterDatabase" localSheetId="0" hidden="1">Date!$B$3:$E$15</definedName>
    <definedName name="_xlnm._FilterDatabase" localSheetId="2" hidden="1">Days!$B$3:$E$15</definedName>
    <definedName name="_xlnm._FilterDatabase" localSheetId="3" hidden="1">Employees!$A$1:$S$151</definedName>
    <definedName name="_xlnm._FilterDatabase" localSheetId="1" hidden="1">Time!$B$3:$E$15</definedName>
    <definedName name="Z_0458C18D_9EF5_4516_9145_CA54D8EB1865_.wvu.FilterData" localSheetId="0" hidden="1">Date!$B$3:$E$15</definedName>
    <definedName name="Z_0458C18D_9EF5_4516_9145_CA54D8EB1865_.wvu.FilterData" localSheetId="2" hidden="1">Days!$B$3:$E$15</definedName>
    <definedName name="Z_0458C18D_9EF5_4516_9145_CA54D8EB1865_.wvu.FilterData" localSheetId="1" hidden="1">Time!$B$3:$E$15</definedName>
    <definedName name="Z_08E755F8_82E9_4D95_862B_81F55FBDDDF6_.wvu.FilterData" localSheetId="0" hidden="1">Date!$B$3:$E$15</definedName>
    <definedName name="Z_08E755F8_82E9_4D95_862B_81F55FBDDDF6_.wvu.FilterData" localSheetId="2" hidden="1">Days!$B$3:$E$15</definedName>
    <definedName name="Z_08E755F8_82E9_4D95_862B_81F55FBDDDF6_.wvu.FilterData" localSheetId="1" hidden="1">Time!$B$3:$E$15</definedName>
    <definedName name="Z_0BF42E77_7016_4BE4_A5AB_A49974630D91_.wvu.FilterData" localSheetId="0" hidden="1">Date!$B$3:$E$15</definedName>
    <definedName name="Z_0BF42E77_7016_4BE4_A5AB_A49974630D91_.wvu.FilterData" localSheetId="2" hidden="1">Days!$B$3:$E$15</definedName>
    <definedName name="Z_0BF42E77_7016_4BE4_A5AB_A49974630D91_.wvu.FilterData" localSheetId="1" hidden="1">Time!$B$3:$E$15</definedName>
    <definedName name="Z_0E02FCC8_6440_4859_9F6B_C77617EF5D89_.wvu.FilterData" localSheetId="0" hidden="1">Date!$B$3:$E$15</definedName>
    <definedName name="Z_0E02FCC8_6440_4859_9F6B_C77617EF5D89_.wvu.FilterData" localSheetId="2" hidden="1">Days!$B$3:$E$15</definedName>
    <definedName name="Z_0E02FCC8_6440_4859_9F6B_C77617EF5D89_.wvu.FilterData" localSheetId="1" hidden="1">Time!$B$3:$E$15</definedName>
    <definedName name="Z_86D36E03_787A_41EB_85FF_8BB8A222055B_.wvu.FilterData" localSheetId="0" hidden="1">Date!$B$3:$E$15</definedName>
    <definedName name="Z_86D36E03_787A_41EB_85FF_8BB8A222055B_.wvu.FilterData" localSheetId="2" hidden="1">Days!$B$3:$E$15</definedName>
    <definedName name="Z_86D36E03_787A_41EB_85FF_8BB8A222055B_.wvu.FilterData" localSheetId="1" hidden="1">Time!$B$3:$E$15</definedName>
    <definedName name="Z_B19B24CB_B859_49E3_8AE0_2D671510EE4F_.wvu.FilterData" localSheetId="0" hidden="1">Date!$B$3:$E$15</definedName>
    <definedName name="Z_B19B24CB_B859_49E3_8AE0_2D671510EE4F_.wvu.FilterData" localSheetId="2" hidden="1">Days!$B$3:$E$15</definedName>
    <definedName name="Z_B19B24CB_B859_49E3_8AE0_2D671510EE4F_.wvu.FilterData" localSheetId="1" hidden="1">Time!$B$3:$E$15</definedName>
    <definedName name="Z_C453A932_6110_4A84_A9C2_26C809391387_.wvu.FilterData" localSheetId="0" hidden="1">Date!$B$3:$E$15</definedName>
    <definedName name="Z_C453A932_6110_4A84_A9C2_26C809391387_.wvu.FilterData" localSheetId="2" hidden="1">Days!$B$3:$E$15</definedName>
    <definedName name="Z_C453A932_6110_4A84_A9C2_26C809391387_.wvu.FilterData" localSheetId="1" hidden="1">Time!$B$3:$E$15</definedName>
    <definedName name="Z_D9413B31_FDB2_4AE8_80A8_7F09954E703C_.wvu.FilterData" localSheetId="0" hidden="1">Date!$B$3:$E$15</definedName>
    <definedName name="Z_D9413B31_FDB2_4AE8_80A8_7F09954E703C_.wvu.FilterData" localSheetId="2" hidden="1">Days!$B$3:$E$15</definedName>
    <definedName name="Z_D9413B31_FDB2_4AE8_80A8_7F09954E703C_.wvu.FilterData" localSheetId="1" hidden="1">Time!$B$3:$E$15</definedName>
    <definedName name="Z_DFE0B66A_2DCB_4802_A91B_F836707AD43C_.wvu.FilterData" localSheetId="0" hidden="1">Date!$B$3:$E$15</definedName>
    <definedName name="Z_DFE0B66A_2DCB_4802_A91B_F836707AD43C_.wvu.FilterData" localSheetId="2" hidden="1">Days!$B$3:$E$15</definedName>
    <definedName name="Z_DFE0B66A_2DCB_4802_A91B_F836707AD43C_.wvu.FilterData" localSheetId="1" hidden="1">Time!$B$3:$E$15</definedName>
    <definedName name="Z_EE811897_5BF5_4321_9879_5B7EDF90A350_.wvu.FilterData" localSheetId="0" hidden="1">Date!$B$3:$E$15</definedName>
    <definedName name="Z_EE811897_5BF5_4321_9879_5B7EDF90A350_.wvu.FilterData" localSheetId="2" hidden="1">Days!$B$3:$E$15</definedName>
    <definedName name="Z_EE811897_5BF5_4321_9879_5B7EDF90A350_.wvu.FilterData" localSheetId="1" hidden="1">Time!$B$3:$E$15</definedName>
    <definedName name="Z_FF03E81F_A9A8_4546_A9C3_77A6EEA02ED9_.wvu.FilterData" localSheetId="0" hidden="1">Date!$B$3:$E$15</definedName>
    <definedName name="Z_FF03E81F_A9A8_4546_A9C3_77A6EEA02ED9_.wvu.FilterData" localSheetId="2" hidden="1">Days!$B$3:$E$15</definedName>
    <definedName name="Z_FF03E81F_A9A8_4546_A9C3_77A6EEA02ED9_.wvu.FilterData" localSheetId="1" hidden="1">Time!$B$3:$E$15</definedName>
  </definedNames>
  <calcPr calcId="191029"/>
  <customWorkbookViews>
    <customWorkbookView name="countif6" guid="{576A445C-3D9A-438D-AC68-B679E3D65634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1" guid="{E3977DAC-58A9-43A5-A2CD-037AE84A3934}" maximized="1" xWindow="-8" yWindow="-8" windowWidth="1382" windowHeight="744" activeSheetId="24"/>
    <customWorkbookView name="averageif6" guid="{0BFB30CE-F6D9-44B3-99BA-62858BF46600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1" guid="{F716839F-5448-40FC-95BC-286199FD6764}" maximized="1" xWindow="-8" yWindow="-8" windowWidth="1382" windowHeight="744" activeSheetId="23"/>
    <customWorkbookView name="sumif6" guid="{8EBF087E-11C5-42EE-B564-FAEE72C86C17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1" guid="{C090DFAD-A23A-4678-87F2-095D84EBDDE8}" maximized="1" xWindow="-8" yWindow="-8" windowWidth="1382" windowHeight="744" activeSheetId="15"/>
    <customWorkbookView name="sumifs1" guid="{A5292A6B-6F92-4AB3-B051-EF87F39FC489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8" guid="{F3CB97AD-592C-4B6E-8AE3-1CD47479060C}" maximized="1" xWindow="-8" yWindow="-8" windowWidth="1382" windowHeight="784" activeSheetId="25"/>
    <customWorkbookView name="averageifs1" guid="{422703F6-63C4-435C-AFE7-1030286678F6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8" guid="{F789A6E6-3D06-4D93-BF02-46FA1A2548B2}" maximized="1" xWindow="-8" yWindow="-8" windowWidth="1382" windowHeight="784" activeSheetId="32"/>
    <customWorkbookView name="countifs1" guid="{629A478C-29B1-4F25-A016-63CE32A1627F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8" guid="{E1A67331-473F-4161-806C-BE35870C93B5}" maximized="1" xWindow="-8" yWindow="-8" windowWidth="1382" windowHeight="784" activeSheetId="31"/>
    <customWorkbookView name="minifs1" guid="{BCAB4838-A37A-4BCF-A9C9-CC50C95F58C7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8" guid="{FC8D231F-57F9-45EE-9DEF-D7ED111600EB}" maximized="1" xWindow="-8" yWindow="-8" windowWidth="1382" windowHeight="784" activeSheetId="34"/>
    <customWorkbookView name="floor" guid="{7A9AB605-DB82-470C-B86B-95E2AB3523F6}" maximized="1" xWindow="-8" yWindow="-8" windowWidth="1382" windowHeight="784" activeSheetId="35"/>
    <customWorkbookView name="ceiling" guid="{0125BE01-BBC8-4E5A-9A9A-3D1257916B8C}" maximized="1" xWindow="-8" yWindow="-8" windowWidth="1382" windowHeight="784" activeSheetId="35"/>
    <customWorkbookView name="roundup" guid="{8BEA0E04-8B9A-4A2D-9B80-4E7685E22D5E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mround" guid="{2032DE14-E33D-44B5-9022-A2B48F059704}" maximized="1" xWindow="-8" yWindow="-8" windowWidth="1382" windowHeight="784" activeSheetId="40"/>
    <customWorkbookView name="left" guid="{DF16608F-40E8-490E-B08D-ED6EEAB8B9EC}" maximized="1" xWindow="-8" yWindow="-8" windowWidth="1382" windowHeight="784" activeSheetId="41"/>
    <customWorkbookView name="right" guid="{2CEDB1FB-2942-4B51-BF30-285DCDB05292}" maximized="1" xWindow="-8" yWindow="-8" windowWidth="1382" windowHeight="784" activeSheetId="41"/>
    <customWorkbookView name="mid" guid="{E4375DB4-4B74-46BC-A9F2-C5C5055B366F}" maximized="1" xWindow="-8" yWindow="-8" windowWidth="1382" windowHeight="784" activeSheetId="41"/>
    <customWorkbookView name="upper" guid="{58306194-C83B-413E-AC5F-AD717216CB21}" maximized="1" xWindow="-8" yWindow="-8" windowWidth="1382" windowHeight="784" activeSheetId="42"/>
    <customWorkbookView name="lower" guid="{81DEBAD0-6E86-4DFB-8642-C52E8C976BDA}" maximized="1" xWindow="-8" yWindow="-8" windowWidth="1382" windowHeight="784" activeSheetId="42"/>
    <customWorkbookView name="proper" guid="{C575B46A-1D4C-489C-97AE-5DAB6560E171}" maximized="1" xWindow="-8" yWindow="-8" windowWidth="1382" windowHeight="784" activeSheetId="42"/>
    <customWorkbookView name="hardconcat" guid="{C908A6D6-4C77-416B-BC46-6F501B5F842F}" maximized="1" xWindow="-8" yWindow="-8" windowWidth="1382" windowHeight="784" activeSheetId="43"/>
    <customWorkbookView name="textjoin" guid="{CE50DC7E-3038-4337-BAC8-5B16EE1D95B0}" maximized="1" xWindow="-8" yWindow="-8" windowWidth="1382" windowHeight="784" activeSheetId="43"/>
    <customWorkbookView name="concat" guid="{3511E245-32F9-4CFF-8540-6B03C6FAE218}" maximized="1" xWindow="-8" yWindow="-8" windowWidth="1382" windowHeight="784" activeSheetId="43"/>
    <customWorkbookView name="maxifs1" guid="{DFE0B66A-2DCB-4802-A91B-F836707AD43C}" maximized="1" xWindow="-8" yWindow="-8" windowWidth="1382" windowHeight="784" activeSheetId="33"/>
    <customWorkbookView name="maxifs2" guid="{0458C18D-9EF5-4516-9145-CA54D8EB1865}" maximized="1" xWindow="-8" yWindow="-8" windowWidth="1382" windowHeight="784" activeSheetId="33"/>
    <customWorkbookView name="maxifs3" guid="{0E02FCC8-6440-4859-9F6B-C77617EF5D89}" maximized="1" xWindow="-8" yWindow="-8" windowWidth="1382" windowHeight="784" activeSheetId="33"/>
    <customWorkbookView name="maxifs4" guid="{EE811897-5BF5-4321-9879-5B7EDF90A350}" maximized="1" xWindow="-8" yWindow="-8" windowWidth="1382" windowHeight="784" activeSheetId="33"/>
    <customWorkbookView name="maxifs5" guid="{FF03E81F-A9A8-4546-A9C3-77A6EEA02ED9}" maximized="1" xWindow="-8" yWindow="-8" windowWidth="1382" windowHeight="784" activeSheetId="33"/>
    <customWorkbookView name="maxifs6" guid="{D9413B31-FDB2-4AE8-80A8-7F09954E703C}" maximized="1" xWindow="-8" yWindow="-8" windowWidth="1382" windowHeight="784" activeSheetId="33"/>
    <customWorkbookView name="maxifs7" guid="{B19B24CB-B859-49E3-8AE0-2D671510EE4F}" maximized="1" xWindow="-8" yWindow="-8" windowWidth="1382" windowHeight="784" activeSheetId="33"/>
    <customWorkbookView name="maxifs8" guid="{0BF42E77-7016-4BE4-A5AB-A49974630D91}" maximized="1" xWindow="-8" yWindow="-8" windowWidth="1382" windowHeight="784" activeSheetId="33"/>
    <customWorkbookView name="if1" guid="{C453A932-6110-4A84-A9C2-26C809391387}" maximized="1" xWindow="-8" yWindow="-8" windowWidth="1382" windowHeight="784" activeSheetId="36"/>
    <customWorkbookView name="if2" guid="{08E755F8-82E9-4D95-862B-81F55FBDDDF6}" maximized="1" xWindow="-8" yWindow="-8" windowWidth="1382" windowHeight="784" activeSheetId="36"/>
    <customWorkbookView name="if3" guid="{86D36E03-787A-41EB-85FF-8BB8A222055B}" maximized="1" xWindow="-8" yWindow="-8" windowWidth="1382" windowHeight="784" activeSheetId="3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46" l="1"/>
  <c r="S4" i="46"/>
  <c r="S5" i="46"/>
  <c r="S6" i="46"/>
  <c r="S7" i="46"/>
  <c r="S8" i="46"/>
  <c r="S9" i="46"/>
  <c r="S10" i="46"/>
  <c r="S11" i="46"/>
  <c r="S12" i="46"/>
  <c r="S13" i="46"/>
  <c r="S14" i="46"/>
  <c r="S15" i="46"/>
  <c r="S16" i="46"/>
  <c r="S17" i="46"/>
  <c r="S18" i="46"/>
  <c r="S19" i="46"/>
  <c r="S20" i="46"/>
  <c r="S21" i="46"/>
  <c r="S22" i="46"/>
  <c r="S23" i="46"/>
  <c r="S24" i="46"/>
  <c r="S25" i="46"/>
  <c r="S2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41" i="46"/>
  <c r="S42" i="46"/>
  <c r="S43" i="46"/>
  <c r="S44" i="46"/>
  <c r="S45" i="46"/>
  <c r="S46" i="46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71" i="46"/>
  <c r="S72" i="46"/>
  <c r="S73" i="46"/>
  <c r="S74" i="46"/>
  <c r="S75" i="46"/>
  <c r="S76" i="46"/>
  <c r="S77" i="46"/>
  <c r="S78" i="46"/>
  <c r="S79" i="46"/>
  <c r="S80" i="46"/>
  <c r="S81" i="46"/>
  <c r="S82" i="46"/>
  <c r="S83" i="46"/>
  <c r="S84" i="46"/>
  <c r="S85" i="46"/>
  <c r="S86" i="46"/>
  <c r="S87" i="46"/>
  <c r="S88" i="46"/>
  <c r="S89" i="46"/>
  <c r="S90" i="46"/>
  <c r="S91" i="46"/>
  <c r="S92" i="46"/>
  <c r="S93" i="46"/>
  <c r="S94" i="46"/>
  <c r="S95" i="46"/>
  <c r="S96" i="46"/>
  <c r="S97" i="46"/>
  <c r="S98" i="46"/>
  <c r="S99" i="46"/>
  <c r="S100" i="46"/>
  <c r="S101" i="46"/>
  <c r="S102" i="46"/>
  <c r="S103" i="46"/>
  <c r="S104" i="46"/>
  <c r="S105" i="46"/>
  <c r="S106" i="46"/>
  <c r="S107" i="46"/>
  <c r="S108" i="46"/>
  <c r="S109" i="46"/>
  <c r="S110" i="46"/>
  <c r="S111" i="46"/>
  <c r="S112" i="46"/>
  <c r="S113" i="46"/>
  <c r="S114" i="46"/>
  <c r="S115" i="46"/>
  <c r="S116" i="46"/>
  <c r="S117" i="46"/>
  <c r="S118" i="46"/>
  <c r="S119" i="46"/>
  <c r="S120" i="46"/>
  <c r="S121" i="46"/>
  <c r="S122" i="46"/>
  <c r="S123" i="46"/>
  <c r="S124" i="46"/>
  <c r="S125" i="46"/>
  <c r="S126" i="46"/>
  <c r="S127" i="46"/>
  <c r="S128" i="46"/>
  <c r="S129" i="46"/>
  <c r="S130" i="46"/>
  <c r="S131" i="46"/>
  <c r="S132" i="46"/>
  <c r="S133" i="46"/>
  <c r="S134" i="46"/>
  <c r="S135" i="46"/>
  <c r="S136" i="46"/>
  <c r="S137" i="46"/>
  <c r="S138" i="46"/>
  <c r="S139" i="46"/>
  <c r="S140" i="46"/>
  <c r="S141" i="46"/>
  <c r="S142" i="46"/>
  <c r="S143" i="46"/>
  <c r="S144" i="46"/>
  <c r="S145" i="46"/>
  <c r="S146" i="46"/>
  <c r="S147" i="46"/>
  <c r="S148" i="46"/>
  <c r="S149" i="46"/>
  <c r="S150" i="46"/>
  <c r="S151" i="46"/>
  <c r="S2" i="46"/>
  <c r="R3" i="46"/>
  <c r="R4" i="46"/>
  <c r="R5" i="46"/>
  <c r="R6" i="46"/>
  <c r="R7" i="46"/>
  <c r="R8" i="46"/>
  <c r="R9" i="46"/>
  <c r="R10" i="46"/>
  <c r="R11" i="46"/>
  <c r="R12" i="46"/>
  <c r="R13" i="46"/>
  <c r="R14" i="46"/>
  <c r="R15" i="46"/>
  <c r="R16" i="46"/>
  <c r="R17" i="46"/>
  <c r="R18" i="46"/>
  <c r="R19" i="46"/>
  <c r="R20" i="46"/>
  <c r="R21" i="46"/>
  <c r="R22" i="46"/>
  <c r="R23" i="46"/>
  <c r="R24" i="46"/>
  <c r="R25" i="46"/>
  <c r="R26" i="46"/>
  <c r="R27" i="46"/>
  <c r="R28" i="46"/>
  <c r="R29" i="46"/>
  <c r="R30" i="46"/>
  <c r="R31" i="46"/>
  <c r="R32" i="46"/>
  <c r="R33" i="46"/>
  <c r="R34" i="46"/>
  <c r="R35" i="46"/>
  <c r="R36" i="46"/>
  <c r="R37" i="46"/>
  <c r="R38" i="46"/>
  <c r="R39" i="46"/>
  <c r="R40" i="46"/>
  <c r="R41" i="46"/>
  <c r="R42" i="46"/>
  <c r="R43" i="46"/>
  <c r="R44" i="46"/>
  <c r="R45" i="46"/>
  <c r="R46" i="46"/>
  <c r="R47" i="46"/>
  <c r="R48" i="46"/>
  <c r="R49" i="46"/>
  <c r="R50" i="46"/>
  <c r="R51" i="46"/>
  <c r="R52" i="46"/>
  <c r="R53" i="46"/>
  <c r="R54" i="46"/>
  <c r="R55" i="46"/>
  <c r="R56" i="46"/>
  <c r="R57" i="46"/>
  <c r="R58" i="46"/>
  <c r="R59" i="46"/>
  <c r="R60" i="46"/>
  <c r="R61" i="46"/>
  <c r="R62" i="46"/>
  <c r="R63" i="46"/>
  <c r="R64" i="46"/>
  <c r="R65" i="46"/>
  <c r="R66" i="46"/>
  <c r="R67" i="46"/>
  <c r="R68" i="46"/>
  <c r="R69" i="46"/>
  <c r="R70" i="46"/>
  <c r="R71" i="46"/>
  <c r="R72" i="46"/>
  <c r="R73" i="46"/>
  <c r="R74" i="46"/>
  <c r="R75" i="46"/>
  <c r="R76" i="46"/>
  <c r="R77" i="46"/>
  <c r="R78" i="46"/>
  <c r="R79" i="46"/>
  <c r="R80" i="46"/>
  <c r="R81" i="46"/>
  <c r="R82" i="46"/>
  <c r="R83" i="46"/>
  <c r="R84" i="46"/>
  <c r="R85" i="46"/>
  <c r="R86" i="46"/>
  <c r="R87" i="46"/>
  <c r="R88" i="46"/>
  <c r="R89" i="46"/>
  <c r="R90" i="46"/>
  <c r="R91" i="46"/>
  <c r="R92" i="46"/>
  <c r="R93" i="46"/>
  <c r="R94" i="46"/>
  <c r="R95" i="46"/>
  <c r="R96" i="46"/>
  <c r="R97" i="46"/>
  <c r="R98" i="46"/>
  <c r="R99" i="46"/>
  <c r="R100" i="46"/>
  <c r="R101" i="46"/>
  <c r="R102" i="46"/>
  <c r="R103" i="46"/>
  <c r="R104" i="46"/>
  <c r="R105" i="46"/>
  <c r="R106" i="46"/>
  <c r="R107" i="46"/>
  <c r="R108" i="46"/>
  <c r="R109" i="46"/>
  <c r="R110" i="46"/>
  <c r="R111" i="46"/>
  <c r="R112" i="46"/>
  <c r="R113" i="46"/>
  <c r="R114" i="46"/>
  <c r="R115" i="46"/>
  <c r="R116" i="46"/>
  <c r="R117" i="46"/>
  <c r="R118" i="46"/>
  <c r="R119" i="46"/>
  <c r="R120" i="46"/>
  <c r="R121" i="46"/>
  <c r="R122" i="46"/>
  <c r="R123" i="46"/>
  <c r="R124" i="46"/>
  <c r="R125" i="46"/>
  <c r="R126" i="46"/>
  <c r="R127" i="46"/>
  <c r="R128" i="46"/>
  <c r="R129" i="46"/>
  <c r="R130" i="46"/>
  <c r="R131" i="46"/>
  <c r="R132" i="46"/>
  <c r="R133" i="46"/>
  <c r="R134" i="46"/>
  <c r="R135" i="46"/>
  <c r="R136" i="46"/>
  <c r="R137" i="46"/>
  <c r="R138" i="46"/>
  <c r="R139" i="46"/>
  <c r="R140" i="46"/>
  <c r="R141" i="46"/>
  <c r="R142" i="46"/>
  <c r="R143" i="46"/>
  <c r="R144" i="46"/>
  <c r="R145" i="46"/>
  <c r="R146" i="46"/>
  <c r="R147" i="46"/>
  <c r="R148" i="46"/>
  <c r="R149" i="46"/>
  <c r="R150" i="46"/>
  <c r="R151" i="46"/>
  <c r="R2" i="46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G1" i="42"/>
  <c r="M46" i="43"/>
  <c r="M23" i="43"/>
  <c r="M7" i="43"/>
  <c r="M46" i="42"/>
  <c r="M23" i="42"/>
  <c r="M7" i="42"/>
  <c r="M46" i="15"/>
  <c r="G2" i="1" a="1"/>
  <c r="G2" i="1" s="1"/>
  <c r="G3" i="1" a="1"/>
  <c r="G3" i="1" s="1"/>
  <c r="G4" i="1" a="1"/>
  <c r="G4" i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M23" i="15" l="1"/>
  <c r="M7" i="15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<sst xmlns="http://schemas.openxmlformats.org/spreadsheetml/2006/main" count="1830" uniqueCount="551">
  <si>
    <t>Rank</t>
  </si>
  <si>
    <t>Name</t>
  </si>
  <si>
    <t>LastChange</t>
  </si>
  <si>
    <t>YTDChange</t>
  </si>
  <si>
    <t>Country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</si>
  <si>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</si>
  <si>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</si>
  <si>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</si>
  <si>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</si>
  <si>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</si>
  <si>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</si>
  <si>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</si>
  <si>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</si>
  <si>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</si>
  <si>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</si>
  <si>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</si>
  <si>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</si>
  <si>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</si>
  <si>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</si>
  <si>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 xml:space="preserve">Gautam Adani </t>
  </si>
  <si>
    <t xml:space="preserve">Amancio Ortega </t>
  </si>
  <si>
    <t>Spain</t>
  </si>
  <si>
    <t xml:space="preserve">Jim Walton </t>
  </si>
  <si>
    <t>Net Worth (B)</t>
  </si>
  <si>
    <t>Change Type</t>
  </si>
  <si>
    <t>Francoise Bettencourt</t>
  </si>
  <si>
    <t>Google</t>
  </si>
  <si>
    <t>DoorDash</t>
  </si>
  <si>
    <t>Lyft</t>
  </si>
  <si>
    <t>Walmart</t>
  </si>
  <si>
    <t>BigBasket</t>
  </si>
  <si>
    <t>Amazon</t>
  </si>
  <si>
    <t>Vendor</t>
  </si>
  <si>
    <t>Price</t>
  </si>
  <si>
    <r>
      <rPr>
        <b/>
        <sz val="12"/>
        <rFont val="Calibri"/>
        <family val="2"/>
        <scheme val="minor"/>
      </rPr>
      <t xml:space="preserve">Logic1: 
</t>
    </r>
    <r>
      <rPr>
        <sz val="12"/>
        <rFont val="Calibri"/>
        <family val="2"/>
        <scheme val="minor"/>
      </rPr>
      <t xml:space="preserve">If the networth is Less then 100, then get an output as "Multi Billionaire"
</t>
    </r>
    <r>
      <rPr>
        <b/>
        <sz val="12"/>
        <rFont val="Calibri"/>
        <family val="2"/>
        <scheme val="minor"/>
      </rPr>
      <t xml:space="preserve">Logic 2:
</t>
    </r>
    <r>
      <rPr>
        <sz val="12"/>
        <rFont val="Calibri"/>
        <family val="2"/>
        <scheme val="minor"/>
      </rPr>
      <t>If the networth is over 100, then get an output as "Centi Billionaire"</t>
    </r>
  </si>
  <si>
    <t>Month</t>
  </si>
  <si>
    <t>Sale Date</t>
  </si>
  <si>
    <t>Today</t>
  </si>
  <si>
    <t>Day</t>
  </si>
  <si>
    <t>Status</t>
  </si>
  <si>
    <t>Unpaid</t>
  </si>
  <si>
    <t>Find the Day of the Sale</t>
  </si>
  <si>
    <t>Find the Year of the Sale</t>
  </si>
  <si>
    <t>Find how days it has been since the Sale Date</t>
  </si>
  <si>
    <t>Find the Hour of the Sale</t>
  </si>
  <si>
    <t>Now</t>
  </si>
  <si>
    <t>Find the Minute of the Sale</t>
  </si>
  <si>
    <t>Find the Second of the Sale</t>
  </si>
  <si>
    <t>Second</t>
  </si>
  <si>
    <t>Minute</t>
  </si>
  <si>
    <t>Hour</t>
  </si>
  <si>
    <t>Year</t>
  </si>
  <si>
    <t>Days its been</t>
  </si>
  <si>
    <t>Find the no of Working Days from the Sale Date</t>
  </si>
  <si>
    <t>Working Days</t>
  </si>
  <si>
    <t>Find the no of Working days after the sale when the week starts on Wednesday</t>
  </si>
  <si>
    <t>Emp_ID</t>
  </si>
  <si>
    <t>Branch_ID</t>
  </si>
  <si>
    <t>Employee_name</t>
  </si>
  <si>
    <t>Employee_Gender</t>
  </si>
  <si>
    <t>Employee_DOB</t>
  </si>
  <si>
    <t>Employee_address</t>
  </si>
  <si>
    <t>Employee_DOJ</t>
  </si>
  <si>
    <t>Emp_Mobile Number</t>
  </si>
  <si>
    <t>Employee_Email_ID</t>
  </si>
  <si>
    <t>Employment_Type</t>
  </si>
  <si>
    <t>Employee_Employment_status</t>
  </si>
  <si>
    <t>Current_Annual_Cost</t>
  </si>
  <si>
    <t>Employment_level</t>
  </si>
  <si>
    <t>Reporting_manager_ID</t>
  </si>
  <si>
    <t>Department</t>
  </si>
  <si>
    <t>Job_Title</t>
  </si>
  <si>
    <t>Manager_Non_Manager_tag</t>
  </si>
  <si>
    <t>Amy Peterson</t>
  </si>
  <si>
    <t>Male</t>
  </si>
  <si>
    <t>77205 Matthew Meadow Suite 111, North Peggy, NM 13005</t>
  </si>
  <si>
    <t>ricerandall@example.net</t>
  </si>
  <si>
    <t>Part-time</t>
  </si>
  <si>
    <t>Active</t>
  </si>
  <si>
    <t>Senior</t>
  </si>
  <si>
    <t>Operations</t>
  </si>
  <si>
    <t>CEO</t>
  </si>
  <si>
    <t>Manager</t>
  </si>
  <si>
    <t>Karen Shepherd</t>
  </si>
  <si>
    <t>Unit 7259 Box 8468, DPO AE 78292</t>
  </si>
  <si>
    <t>timothynovak@example.net</t>
  </si>
  <si>
    <t>Contract</t>
  </si>
  <si>
    <t>HR</t>
  </si>
  <si>
    <t>COO</t>
  </si>
  <si>
    <t>Christopher Mendez</t>
  </si>
  <si>
    <t>Female</t>
  </si>
  <si>
    <t>50876 Taylor Junction Suite 993, East Davidshire, GU 62769</t>
  </si>
  <si>
    <t>brittany96@example.net</t>
  </si>
  <si>
    <t>IT</t>
  </si>
  <si>
    <t>CFO</t>
  </si>
  <si>
    <t>Clayton Torres</t>
  </si>
  <si>
    <t>886 David Pine Suite 825, Kevinbury, MO 05800</t>
  </si>
  <si>
    <t>bradfordrenee@example.net</t>
  </si>
  <si>
    <t>Full-time</t>
  </si>
  <si>
    <t>CHRO</t>
  </si>
  <si>
    <t>Nicholas Jenkins</t>
  </si>
  <si>
    <t>813 Leonard Plaza, Markstad, AK 02825</t>
  </si>
  <si>
    <t>lopezjacqueline@example.net</t>
  </si>
  <si>
    <t>Inactive</t>
  </si>
  <si>
    <t>Entry</t>
  </si>
  <si>
    <t>Miss Tammy Smith</t>
  </si>
  <si>
    <t>61160 Leslie Orchard, Anthonyside, IN 64646</t>
  </si>
  <si>
    <t>andrewthomas@example.com</t>
  </si>
  <si>
    <t>Sales</t>
  </si>
  <si>
    <t>Cashier</t>
  </si>
  <si>
    <t>Non-Manager</t>
  </si>
  <si>
    <t>Andres Simpson</t>
  </si>
  <si>
    <t>4443 Jeanne Square Apt. 788, Bowmanburgh, LA 67543</t>
  </si>
  <si>
    <t>lunakaren@example.net</t>
  </si>
  <si>
    <t>Barbara Brown</t>
  </si>
  <si>
    <t>2562 Bernard Bridge, South Davidberg, DC 99516</t>
  </si>
  <si>
    <t>dflynn@example.org</t>
  </si>
  <si>
    <t>Lead</t>
  </si>
  <si>
    <t>Finance</t>
  </si>
  <si>
    <t>Delivery Driver</t>
  </si>
  <si>
    <t>Julie Mcdaniel</t>
  </si>
  <si>
    <t>6178 Lisa Drive, Lake Kyleport, GU 83149</t>
  </si>
  <si>
    <t>wilsonchristopher@example.org</t>
  </si>
  <si>
    <t>Chef</t>
  </si>
  <si>
    <t>Christopher Gross</t>
  </si>
  <si>
    <t>PSC 1023, Box 1167, APO AP 48141</t>
  </si>
  <si>
    <t>paul72@example.org</t>
  </si>
  <si>
    <t>Mid</t>
  </si>
  <si>
    <t>James Smith</t>
  </si>
  <si>
    <t>58910 Ashley Groves Suite 757, Nicholsonfurt, MI 56820</t>
  </si>
  <si>
    <t>nortonbrian@example.net</t>
  </si>
  <si>
    <t>Jason Johnson</t>
  </si>
  <si>
    <t>116 Keith Islands Suite 731, Lake Lauraland, MH 05474</t>
  </si>
  <si>
    <t>olloyd@example.org</t>
  </si>
  <si>
    <t>Kathryn Bailey</t>
  </si>
  <si>
    <t>509 Benjamin Extensions Apt. 938, Jonesmouth, ND 83788</t>
  </si>
  <si>
    <t>smithkaren@example.com</t>
  </si>
  <si>
    <t>Timothy Mueller</t>
  </si>
  <si>
    <t>65149 Williamson Island, North Jonathanland, AR 16192</t>
  </si>
  <si>
    <t>tinawright@example.net</t>
  </si>
  <si>
    <t>Miss Carrie Newton</t>
  </si>
  <si>
    <t>02745 Garcia Junctions Suite 082, Amandaborough, CA 68990</t>
  </si>
  <si>
    <t>bradley00@example.com</t>
  </si>
  <si>
    <t>Debbie Martinez</t>
  </si>
  <si>
    <t>66832 Frank Burg, West Larry, MP 87829</t>
  </si>
  <si>
    <t>hansenallison@example.com</t>
  </si>
  <si>
    <t>Assistant Manager</t>
  </si>
  <si>
    <t>Patricia Anderson</t>
  </si>
  <si>
    <t>68090 Harris Club, Longchester, IL 53189</t>
  </si>
  <si>
    <t>nberg@example.org</t>
  </si>
  <si>
    <t>Joshua Taylor</t>
  </si>
  <si>
    <t>58504 Eric Expressway, New Kaylaborough, NC 32347</t>
  </si>
  <si>
    <t>vhill@example.net</t>
  </si>
  <si>
    <t>Samantha Vasquez</t>
  </si>
  <si>
    <t>539 Weber Ferry, New Taraborough, WV 09686</t>
  </si>
  <si>
    <t>vlee@example.org</t>
  </si>
  <si>
    <t>Mr. Michael Scott</t>
  </si>
  <si>
    <t>404 Jones Glen Apt. 360, Benjamintown, KY 89668</t>
  </si>
  <si>
    <t>blacknathaniel@example.org</t>
  </si>
  <si>
    <t>Bianca Wong</t>
  </si>
  <si>
    <t>15407 Michele Mount, West Brandon, WI 91283</t>
  </si>
  <si>
    <t>aaronhill@example.com</t>
  </si>
  <si>
    <t>Willie Martinez</t>
  </si>
  <si>
    <t>51964 Mccann Gardens Apt. 971, Port Rebecca, PA 62140</t>
  </si>
  <si>
    <t>davidjohnson@example.org</t>
  </si>
  <si>
    <t>Tracey Gonzalez</t>
  </si>
  <si>
    <t>00516 Jones Plain, North Marioshire, NC 42131</t>
  </si>
  <si>
    <t>ana79@example.org</t>
  </si>
  <si>
    <t>Jessica Lynch</t>
  </si>
  <si>
    <t>577 Linda Plain, Port Lorihaven, ND 02191</t>
  </si>
  <si>
    <t>lewiseric@example.org</t>
  </si>
  <si>
    <t>Autumn Murphy</t>
  </si>
  <si>
    <t>93003 Hickman Plain Suite 435, Josephland, MT 02177</t>
  </si>
  <si>
    <t>rhonda28@example.org</t>
  </si>
  <si>
    <t>Andrea Gonzalez</t>
  </si>
  <si>
    <t>97516 Turner Hills Apt. 218, Carrhaven, AS 06267</t>
  </si>
  <si>
    <t>beckerrebecca@example.org</t>
  </si>
  <si>
    <t>Sarah Griffin</t>
  </si>
  <si>
    <t>88472 Amber Crest, South Rickyborough, KY 69652</t>
  </si>
  <si>
    <t>jschneider@example.net</t>
  </si>
  <si>
    <t>Kent Brown</t>
  </si>
  <si>
    <t>104 Walsh Stream, Davidberg, NC 08048</t>
  </si>
  <si>
    <t>ricardoklein@example.org</t>
  </si>
  <si>
    <t>Donna Garcia</t>
  </si>
  <si>
    <t>21182 Johnson Harbors, Port Maria, GA 78399</t>
  </si>
  <si>
    <t>ndavis@example.net</t>
  </si>
  <si>
    <t>Brian Mitchell</t>
  </si>
  <si>
    <t>6889 Holloway Junction, Aaronmouth, KS 23566</t>
  </si>
  <si>
    <t>maryvelez@example.com</t>
  </si>
  <si>
    <t>Michael Foster</t>
  </si>
  <si>
    <t>65127 Sanchez Roads Suite 788, East Jennifer, CT 49617</t>
  </si>
  <si>
    <t>reneebranch@example.com</t>
  </si>
  <si>
    <t>Angela Hubbard</t>
  </si>
  <si>
    <t>PSC 6930, Box 8694, APO AE 47224</t>
  </si>
  <si>
    <t>yabbott@example.net</t>
  </si>
  <si>
    <t>Keith Peters</t>
  </si>
  <si>
    <t>880 Mcgee Mews, Lake Brittney, NJ 21151</t>
  </si>
  <si>
    <t>xevans@example.net</t>
  </si>
  <si>
    <t>Jonathan Salazar</t>
  </si>
  <si>
    <t>USS Fletcher, FPO AA 12597</t>
  </si>
  <si>
    <t>gvillegas@example.com</t>
  </si>
  <si>
    <t>April Young</t>
  </si>
  <si>
    <t>6600 Diaz Lake Suite 456, Matthewsfort, NE 85304</t>
  </si>
  <si>
    <t>peterparker@example.net</t>
  </si>
  <si>
    <t>Kayla Walker</t>
  </si>
  <si>
    <t>USS Sellers, FPO AE 25777</t>
  </si>
  <si>
    <t>qadams@example.net</t>
  </si>
  <si>
    <t>Alexandra Kennedy</t>
  </si>
  <si>
    <t>69761 Young Centers, Deniseland, MD 39207</t>
  </si>
  <si>
    <t>murraykirsten@example.com</t>
  </si>
  <si>
    <t>Mr. Ethan Smith</t>
  </si>
  <si>
    <t>7169 Joshua Locks, Martineztown, NM 12478</t>
  </si>
  <si>
    <t>shane03@example.org</t>
  </si>
  <si>
    <t>Christian Matthews</t>
  </si>
  <si>
    <t>905 Elliott Lane, West John, VT 87029</t>
  </si>
  <si>
    <t>ahuang@example.com</t>
  </si>
  <si>
    <t>Alexis Mora</t>
  </si>
  <si>
    <t>599 Rodriguez Square, Walkerfort, VT 51818</t>
  </si>
  <si>
    <t>castillopamela@example.net</t>
  </si>
  <si>
    <t>Charles Jones</t>
  </si>
  <si>
    <t>01695 Caroline Fall Suite 097, Lake Kellie, PA 54128</t>
  </si>
  <si>
    <t>uwilliams@example.net</t>
  </si>
  <si>
    <t>Kendra Moore</t>
  </si>
  <si>
    <t>Unit 0485 Box 6776, DPO AA 67484</t>
  </si>
  <si>
    <t>donaldrivers@example.com</t>
  </si>
  <si>
    <t>Monica Robertson</t>
  </si>
  <si>
    <t>385 Barnes Mission, Davidport, IL 83367</t>
  </si>
  <si>
    <t>amanda42@example.org</t>
  </si>
  <si>
    <t>Danielle Mclaughlin</t>
  </si>
  <si>
    <t>USCGC Miller, FPO AA 80761</t>
  </si>
  <si>
    <t>stephaniebates@example.com</t>
  </si>
  <si>
    <t>Gwendolyn Hayes</t>
  </si>
  <si>
    <t>6016 Ryan Stravenue, New Chad, IN 73349</t>
  </si>
  <si>
    <t>oconnorcameron@example.com</t>
  </si>
  <si>
    <t>Michael Valdez</t>
  </si>
  <si>
    <t>USS Graham, FPO AA 87114</t>
  </si>
  <si>
    <t>xsimpson@example.com</t>
  </si>
  <si>
    <t>Dr. Eric Sullivan MD</t>
  </si>
  <si>
    <t>154 Michelle Forks Apt. 062, East Danielland, IA 88607</t>
  </si>
  <si>
    <t>hayleydoyle@example.net</t>
  </si>
  <si>
    <t>Cynthia Henry</t>
  </si>
  <si>
    <t>15520 Timothy Plain Apt. 547, New Michael, UT 79568</t>
  </si>
  <si>
    <t>gardnermichael@example.org</t>
  </si>
  <si>
    <t>John Gordon</t>
  </si>
  <si>
    <t>4900 Aaron Streets Apt. 352, East Melissafort, NH 83415</t>
  </si>
  <si>
    <t>rickymedina@example.net</t>
  </si>
  <si>
    <t>Christina Juarez</t>
  </si>
  <si>
    <t>0455 Julie Keys Suite 189, Craigport, OH 68170</t>
  </si>
  <si>
    <t>robinclark@example.net</t>
  </si>
  <si>
    <t>Lisa Vargas</t>
  </si>
  <si>
    <t>748 Alicia Drive Suite 149, North Daleburgh, WI 66375</t>
  </si>
  <si>
    <t>vanessadiaz@example.org</t>
  </si>
  <si>
    <t>Mallory Eaton</t>
  </si>
  <si>
    <t>PSC 6028, Box 6489, APO AA 29537</t>
  </si>
  <si>
    <t>hjoseph@example.com</t>
  </si>
  <si>
    <t>Brooke Ward</t>
  </si>
  <si>
    <t>775 Flores Plaza Suite 424, Blairfort, IA 37592</t>
  </si>
  <si>
    <t>heather00@example.org</t>
  </si>
  <si>
    <t>Terry Hunter</t>
  </si>
  <si>
    <t>1354 Murray Ville, Lake Amber, MN 78038</t>
  </si>
  <si>
    <t>robinsonrebecca@example.com</t>
  </si>
  <si>
    <t>Vanessa Hernandez</t>
  </si>
  <si>
    <t>56748 Matthew Ports Apt. 850, South Charlesfort, VT 36445</t>
  </si>
  <si>
    <t>scottbarry@example.org</t>
  </si>
  <si>
    <t>Clifford Ortiz</t>
  </si>
  <si>
    <t>6266 Marsh Coves, Smithburgh, HI 14671</t>
  </si>
  <si>
    <t>mackhunter@example.org</t>
  </si>
  <si>
    <t>Katie Macdonald</t>
  </si>
  <si>
    <t>USNS Allen, FPO AA 41075</t>
  </si>
  <si>
    <t>patriciagonzalez@example.org</t>
  </si>
  <si>
    <t>Laura Moore</t>
  </si>
  <si>
    <t>778 Lawrence Ford, West John, FL 27461</t>
  </si>
  <si>
    <t>xlynch@example.net</t>
  </si>
  <si>
    <t>Angela Ramirez</t>
  </si>
  <si>
    <t>26511 Justin Wells Apt. 895, Sheliaburgh, IN 41767</t>
  </si>
  <si>
    <t>petersongregory@example.org</t>
  </si>
  <si>
    <t>Mr. Frank Johnston DVM</t>
  </si>
  <si>
    <t>90312 Moore Shores, South Carmenton, MN 92176</t>
  </si>
  <si>
    <t>scottjeremy@example.com</t>
  </si>
  <si>
    <t>Taylor Miller</t>
  </si>
  <si>
    <t>117 Valerie Terrace Apt. 018, East Lori, MT 48293</t>
  </si>
  <si>
    <t>burnettmelanie@example.com</t>
  </si>
  <si>
    <t>Carolyn Todd</t>
  </si>
  <si>
    <t>5539 Mary Grove Suite 793, Liustad, TX 62241</t>
  </si>
  <si>
    <t>christopher48@example.com</t>
  </si>
  <si>
    <t>Alison Jones</t>
  </si>
  <si>
    <t>26259 Miller Center, North Sharontown, LA 07934</t>
  </si>
  <si>
    <t>washingtontravis@example.org</t>
  </si>
  <si>
    <t>Mary Edwards</t>
  </si>
  <si>
    <t>11891 Joseph Neck Suite 849, Oneillburgh, PA 17669</t>
  </si>
  <si>
    <t>dmcgee@example.org</t>
  </si>
  <si>
    <t>John Bennett</t>
  </si>
  <si>
    <t>72470 Kylie Drives, Lynchborough, PR 51866</t>
  </si>
  <si>
    <t>kcannon@example.org</t>
  </si>
  <si>
    <t>Andrew Rodriguez</t>
  </si>
  <si>
    <t>3035 Odom Crossroad, North Markville, CT 14607</t>
  </si>
  <si>
    <t>hjensen@example.com</t>
  </si>
  <si>
    <t>Samantha Torres</t>
  </si>
  <si>
    <t>76778 Tony Roads, Brownstad, TN 09801</t>
  </si>
  <si>
    <t>masonnancy@example.net</t>
  </si>
  <si>
    <t>Donald Smith</t>
  </si>
  <si>
    <t>283 Hansen Causeway Apt. 707, East Anna, WV 69305</t>
  </si>
  <si>
    <t>ericksondonald@example.com</t>
  </si>
  <si>
    <t>Michael Walker</t>
  </si>
  <si>
    <t>PSC 9630, Box 0125, APO AE 85466</t>
  </si>
  <si>
    <t>ramireznicole@example.net</t>
  </si>
  <si>
    <t>Jacob Baker</t>
  </si>
  <si>
    <t>98836 John Lodge, New Samantha, VT 86625</t>
  </si>
  <si>
    <t>randyfarrell@example.net</t>
  </si>
  <si>
    <t>Roberta Guzman</t>
  </si>
  <si>
    <t>77529 Carrie Alley Apt. 559, North Amandashire, IA 22129</t>
  </si>
  <si>
    <t>gary69@example.org</t>
  </si>
  <si>
    <t>George Terry</t>
  </si>
  <si>
    <t>521 Norton Shores Suite 939, Patriciaton, KS 86909</t>
  </si>
  <si>
    <t>ctucker@example.net</t>
  </si>
  <si>
    <t>Joseph Brooks</t>
  </si>
  <si>
    <t>645 Keith Shoal, Murrayfort, CA 66628</t>
  </si>
  <si>
    <t>hardingvanessa@example.org</t>
  </si>
  <si>
    <t>Joyce Phillips</t>
  </si>
  <si>
    <t>571 Russell Landing, Russellborough, PR 26243</t>
  </si>
  <si>
    <t>antoniophillips@example.org</t>
  </si>
  <si>
    <t>Anna Smith</t>
  </si>
  <si>
    <t>330 Wheeler Valley, East Phillip, MA 97116</t>
  </si>
  <si>
    <t>kristinfriedman@example.org</t>
  </si>
  <si>
    <t>Lisa Costa</t>
  </si>
  <si>
    <t>8237 Vincent Centers, East Alyssa, FL 27591</t>
  </si>
  <si>
    <t>rrhodes@example.net</t>
  </si>
  <si>
    <t>John Hobbs</t>
  </si>
  <si>
    <t>Unit 5510 Box 0401, DPO AE 21706</t>
  </si>
  <si>
    <t>kevin75@example.com</t>
  </si>
  <si>
    <t>Mrs. Amanda Tucker MD</t>
  </si>
  <si>
    <t>PSC 8593, Box 8987, APO AA 92074</t>
  </si>
  <si>
    <t>stacy85@example.org</t>
  </si>
  <si>
    <t>Natalie Jones</t>
  </si>
  <si>
    <t>3708 Alexandra Corner, North Seanhaven, NE 30391</t>
  </si>
  <si>
    <t>ymedina@example.com</t>
  </si>
  <si>
    <t>Alexa Gonzalez</t>
  </si>
  <si>
    <t>98983 Lisa Shores Apt. 714, Jonesfort, NH 87145</t>
  </si>
  <si>
    <t>codyjones@example.org</t>
  </si>
  <si>
    <t>Jennifer Gutierrez</t>
  </si>
  <si>
    <t>98917 Morgan Tunnel Apt. 033, Lake Melissa, DE 11562</t>
  </si>
  <si>
    <t>george06@example.net</t>
  </si>
  <si>
    <t>Alison Brown</t>
  </si>
  <si>
    <t>79931 Wagner Prairie Apt. 373, East David, NC 88284</t>
  </si>
  <si>
    <t>margaret64@example.org</t>
  </si>
  <si>
    <t>Judy Copeland</t>
  </si>
  <si>
    <t>543 Ward Isle, Lake Jack, MP 72386</t>
  </si>
  <si>
    <t>matthewnguyen@example.com</t>
  </si>
  <si>
    <t>John Smith</t>
  </si>
  <si>
    <t>2866 Julie Spring, Port Cameronhaven, AL 51736</t>
  </si>
  <si>
    <t>ymendoza@example.com</t>
  </si>
  <si>
    <t>Billy Schroeder</t>
  </si>
  <si>
    <t>09164 Butler Highway Suite 754, New Christopher, SD 36419</t>
  </si>
  <si>
    <t>annaorr@example.com</t>
  </si>
  <si>
    <t>Regina Bailey</t>
  </si>
  <si>
    <t>93123 Mcintosh Lock Apt. 204, Houstonberg, SD 43354</t>
  </si>
  <si>
    <t>owensvicki@example.net</t>
  </si>
  <si>
    <t>Mary Gonzales</t>
  </si>
  <si>
    <t>20164 Jordan Fall, North Jeremyfort, PR 37784</t>
  </si>
  <si>
    <t>christopher03@example.org</t>
  </si>
  <si>
    <t>Jennifer Campbell</t>
  </si>
  <si>
    <t>PSC 7618, Box 1619, APO AA 04241</t>
  </si>
  <si>
    <t>fmitchell@example.com</t>
  </si>
  <si>
    <t>Elizabeth Cummings</t>
  </si>
  <si>
    <t>2884 Miller Parks Suite 076, Port Bradley, UT 44253</t>
  </si>
  <si>
    <t>sarahsosa@example.net</t>
  </si>
  <si>
    <t>Penny Welch</t>
  </si>
  <si>
    <t>92612 Hester Loaf, Anthonyside, VA 86668</t>
  </si>
  <si>
    <t>jeannegardner@example.com</t>
  </si>
  <si>
    <t>Frederick Adams</t>
  </si>
  <si>
    <t>4675 Elliott Ville, North Donaldville, MI 08162</t>
  </si>
  <si>
    <t>perezpamela@example.com</t>
  </si>
  <si>
    <t>Kenneth Rosario</t>
  </si>
  <si>
    <t>6234 Scott Hill Suite 205, East Wandaside, MP 10616</t>
  </si>
  <si>
    <t>ymoore@example.net</t>
  </si>
  <si>
    <t>Dawn Garza</t>
  </si>
  <si>
    <t>493 Ellison Meadow, North Claire, MD 48733</t>
  </si>
  <si>
    <t>cheryl73@example.com</t>
  </si>
  <si>
    <t>Roy Baker</t>
  </si>
  <si>
    <t>8284 Jones Course Suite 560, Nixonhaven, MD 24886</t>
  </si>
  <si>
    <t>mathewssean@example.com</t>
  </si>
  <si>
    <t>Tanner Allen</t>
  </si>
  <si>
    <t>804 Angela Manor, Leonhaven, ME 35762</t>
  </si>
  <si>
    <t>kennethcole@example.com</t>
  </si>
  <si>
    <t>Sean Keith</t>
  </si>
  <si>
    <t>05754 Knox Street Apt. 472, Port David, KY 05635</t>
  </si>
  <si>
    <t>dianaberry@example.org</t>
  </si>
  <si>
    <t>Amy Frost</t>
  </si>
  <si>
    <t>3207 Smith Crest Apt. 124, Hannahstad, KS 72178</t>
  </si>
  <si>
    <t>hortonrhonda@example.com</t>
  </si>
  <si>
    <t>Angel Lamb</t>
  </si>
  <si>
    <t>USS Lang, FPO AE 29964</t>
  </si>
  <si>
    <t>richard04@example.com</t>
  </si>
  <si>
    <t>Carrie Brown</t>
  </si>
  <si>
    <t>29073 Summer Camp, West Jose, NV 76418</t>
  </si>
  <si>
    <t>james21@example.com</t>
  </si>
  <si>
    <t>David James</t>
  </si>
  <si>
    <t>32722 Michael Mountain Suite 529, Lake Misty, CA 79010</t>
  </si>
  <si>
    <t>jonesronald@example.net</t>
  </si>
  <si>
    <t>Dawn Roberson</t>
  </si>
  <si>
    <t>Unit 8481 Box 1696, DPO AP 28348</t>
  </si>
  <si>
    <t>johnsonlynn@example.com</t>
  </si>
  <si>
    <t>Martha Glover</t>
  </si>
  <si>
    <t>022 Harris Valley, Greenland, MD 24278</t>
  </si>
  <si>
    <t>josephsmith@example.com</t>
  </si>
  <si>
    <t>Christopher Taylor</t>
  </si>
  <si>
    <t>584 Kristy Burgs, South Mariaport, KS 04637</t>
  </si>
  <si>
    <t>mercadofaith@example.com</t>
  </si>
  <si>
    <t>Jason Griffin</t>
  </si>
  <si>
    <t>4345 Lynch Squares Suite 796, Ashleymouth, KY 93275</t>
  </si>
  <si>
    <t>saramoyer@example.net</t>
  </si>
  <si>
    <t>Daniel Curtis</t>
  </si>
  <si>
    <t>856 Everett Crescent Apt. 722, South Justin, VI 25283</t>
  </si>
  <si>
    <t>sarah34@example.org</t>
  </si>
  <si>
    <t>Judy Garcia</t>
  </si>
  <si>
    <t>27936 Kelly Mount, Jameschester, GA 88977</t>
  </si>
  <si>
    <t>lindawells@example.net</t>
  </si>
  <si>
    <t>Marvin Medina</t>
  </si>
  <si>
    <t>1938 Derek Station, Mcguiremouth, MI 88837</t>
  </si>
  <si>
    <t>marymartin@example.net</t>
  </si>
  <si>
    <t>Ashley Smith</t>
  </si>
  <si>
    <t>597 Nguyen Meadows, West Elizabethview, KS 38302</t>
  </si>
  <si>
    <t>francisnancy@example.com</t>
  </si>
  <si>
    <t>Allison Richardson</t>
  </si>
  <si>
    <t>0562 Mark Stravenue, Crosbychester, MA 56504</t>
  </si>
  <si>
    <t>hillstephanie@example.org</t>
  </si>
  <si>
    <t>James Lowery</t>
  </si>
  <si>
    <t>145 Barnes Burgs Apt. 726, Lake Nancy, FL 93919</t>
  </si>
  <si>
    <t>adam85@example.com</t>
  </si>
  <si>
    <t>Laura Miller</t>
  </si>
  <si>
    <t>7014 Stacy Wells, West Ashleetown, MH 72198</t>
  </si>
  <si>
    <t>meyerjohnny@example.com</t>
  </si>
  <si>
    <t>Beth Garcia</t>
  </si>
  <si>
    <t>62202 Moon Knolls, Moralesstad, AK 94972</t>
  </si>
  <si>
    <t>andrew39@example.net</t>
  </si>
  <si>
    <t>Jacob Johnson</t>
  </si>
  <si>
    <t>48633 Griffin Tunnel, Figueroaton, PA 92943</t>
  </si>
  <si>
    <t>chasegabriel@example.org</t>
  </si>
  <si>
    <t>Monica Cortez</t>
  </si>
  <si>
    <t>USCGC Pierce, FPO AP 66879</t>
  </si>
  <si>
    <t>qbrown@example.org</t>
  </si>
  <si>
    <t>Melissa Harrington</t>
  </si>
  <si>
    <t>26577 Angela Plaza Apt. 295, East Ruthstad, SD 56571</t>
  </si>
  <si>
    <t>dustin27@example.org</t>
  </si>
  <si>
    <t>Joseph Adkins</t>
  </si>
  <si>
    <t>635 Jessica Stravenue, Lake Edwardhaven, DE 47870</t>
  </si>
  <si>
    <t>phowell@example.com</t>
  </si>
  <si>
    <t>Brandon Wong</t>
  </si>
  <si>
    <t>9245 Patrick Bridge Suite 192, East Ashleymouth, FM 34461</t>
  </si>
  <si>
    <t>mark39@example.com</t>
  </si>
  <si>
    <t>Shannon Combs</t>
  </si>
  <si>
    <t>981 Nicholas Spur Apt. 341, Maryberg, NY 83666</t>
  </si>
  <si>
    <t>qking@example.org</t>
  </si>
  <si>
    <t>Carolyn Love</t>
  </si>
  <si>
    <t>Unit 6807 Box 8412, DPO AA 90553</t>
  </si>
  <si>
    <t>patelnathaniel@example.com</t>
  </si>
  <si>
    <t>Manuel Clarke</t>
  </si>
  <si>
    <t>78086 Angel Mount Apt. 742, Cookland, SC 29913</t>
  </si>
  <si>
    <t>thompsonsuzanne@example.org</t>
  </si>
  <si>
    <t>Chad Evans</t>
  </si>
  <si>
    <t>4810 David Ports, East Johnport, PW 50971</t>
  </si>
  <si>
    <t>cookjoanna@example.org</t>
  </si>
  <si>
    <t>Stephanie Davis</t>
  </si>
  <si>
    <t>600 Dominguez Tunnel Suite 358, Williamsport, UT 94390</t>
  </si>
  <si>
    <t>uthomas@example.com</t>
  </si>
  <si>
    <t>Melissa Guzman</t>
  </si>
  <si>
    <t>30453 Nicholas Pines Apt. 550, New Thomas, TX 16142</t>
  </si>
  <si>
    <t>yjones@example.net</t>
  </si>
  <si>
    <t>Kristen Parker</t>
  </si>
  <si>
    <t>457 Heather Mill Suite 932, Lake Derrick, NM 52484</t>
  </si>
  <si>
    <t>erica55@example.net</t>
  </si>
  <si>
    <t>Ronald White</t>
  </si>
  <si>
    <t>377 Sutton Brook, Jamesmouth, FM 25334</t>
  </si>
  <si>
    <t>brandypalmer@example.com</t>
  </si>
  <si>
    <t>Jeremiah Hayes</t>
  </si>
  <si>
    <t>77950 Martinez Hills Apt. 646, East Darren, OR 52829</t>
  </si>
  <si>
    <t>torresemily@example.net</t>
  </si>
  <si>
    <t>Patricia Lawrence</t>
  </si>
  <si>
    <t>852 Amanda Isle, Mitchellville, WY 93840</t>
  </si>
  <si>
    <t>erikjones@example.org</t>
  </si>
  <si>
    <t>Mary Weaver</t>
  </si>
  <si>
    <t>86291 Linda Locks, South Lorraine, NH 23608</t>
  </si>
  <si>
    <t>murraypaul@example.org</t>
  </si>
  <si>
    <t>Julia Bowers</t>
  </si>
  <si>
    <t>55833 Sheila Mill, Port Karen, SD 69410</t>
  </si>
  <si>
    <t>rebecca76@example.net</t>
  </si>
  <si>
    <t>Laura Brown</t>
  </si>
  <si>
    <t>29025 Thomas Mountains Apt. 536, Wilsonstad, FM 82981</t>
  </si>
  <si>
    <t>michaelstewart@example.net</t>
  </si>
  <si>
    <t>Jacob Thompson</t>
  </si>
  <si>
    <t>1531 Edwards Inlet Apt. 352, North Nicholasview, AS 51080</t>
  </si>
  <si>
    <t>peterscynthia@example.org</t>
  </si>
  <si>
    <t>Tina Wilson</t>
  </si>
  <si>
    <t>894 Morgan Garden, North Frankbury, DE 73354</t>
  </si>
  <si>
    <t>datkinson@example.net</t>
  </si>
  <si>
    <t>Brian Ayala</t>
  </si>
  <si>
    <t>USNV Ortiz, FPO AP 77331</t>
  </si>
  <si>
    <t>gregoryrobinson@example.net</t>
  </si>
  <si>
    <t>Crystal Roberts</t>
  </si>
  <si>
    <t>991 Richard Pine, Whitetown, AK 80078</t>
  </si>
  <si>
    <t>charles34@example.com</t>
  </si>
  <si>
    <t>Lisa Baker</t>
  </si>
  <si>
    <t>808 Clark Hollow Apt. 124, East Terrencemouth, VA 98819</t>
  </si>
  <si>
    <t>julieyoder@example.net</t>
  </si>
  <si>
    <t>Frank Payne</t>
  </si>
  <si>
    <t>384 Christopher Way Suite 490, Lewisshire, GA 16181</t>
  </si>
  <si>
    <t>lopezcolleen@example.net</t>
  </si>
  <si>
    <t>Benjamin Gibbs</t>
  </si>
  <si>
    <t>2072 Golden Divide Suite 616, South Taylorhaven, CT 29330</t>
  </si>
  <si>
    <t>karinafoster@example.com</t>
  </si>
  <si>
    <t>Bobby Bradshaw</t>
  </si>
  <si>
    <t>111 Robert Tunnel Apt. 256, Brittanybury, RI 43987</t>
  </si>
  <si>
    <t>nglover@example.net</t>
  </si>
  <si>
    <t>Rebecca Watson</t>
  </si>
  <si>
    <t>33978 Chan Walks Suite 895, Andreaview, MP 39769</t>
  </si>
  <si>
    <t>dpowers@example.org</t>
  </si>
  <si>
    <t>Damon Carter</t>
  </si>
  <si>
    <t>087 Ann Shoals, Port Michelle, PA 57291</t>
  </si>
  <si>
    <t>swilliams@example.com</t>
  </si>
  <si>
    <t>Bryan Aguilar</t>
  </si>
  <si>
    <t>887 Smith Spur Apt. 574, Suarezstad, MI 76419</t>
  </si>
  <si>
    <t>philipmiller@example.net</t>
  </si>
  <si>
    <t>Danny White</t>
  </si>
  <si>
    <t>1500 Garcia Throughway Suite 046, South Jessicachester, VI 98209</t>
  </si>
  <si>
    <t>aliciaflores@example.com</t>
  </si>
  <si>
    <t>Patricia Mcmillan</t>
  </si>
  <si>
    <t>738 Tammy Ports, New Franklinmouth, MP 05901</t>
  </si>
  <si>
    <t>adavis@example.net</t>
  </si>
  <si>
    <t>Jonathan Turner</t>
  </si>
  <si>
    <t>PSC 2667, Box 7228, APO AP 66254</t>
  </si>
  <si>
    <t>samuelgarcia@example.net</t>
  </si>
  <si>
    <t>Roger Barton</t>
  </si>
  <si>
    <t>519 Flores Lights, East James, VT 41919</t>
  </si>
  <si>
    <t>allenkayla@example.net</t>
  </si>
  <si>
    <t>Peter Zimmerman</t>
  </si>
  <si>
    <t>009 Mary Forges, South Shannonside, HI 08920</t>
  </si>
  <si>
    <t>millerashley@example.org</t>
  </si>
  <si>
    <t>Tara Carter</t>
  </si>
  <si>
    <t>582 Kristin Spur Apt. 961, Port Kristinberg, NY 94640</t>
  </si>
  <si>
    <t>zhumphrey@example.net</t>
  </si>
  <si>
    <t>John Holloway</t>
  </si>
  <si>
    <t>207 Dawson Parks, Lake Shawnfort, NJ 55115</t>
  </si>
  <si>
    <t>scottmichael@example.org</t>
  </si>
  <si>
    <t>Thomas Wilson</t>
  </si>
  <si>
    <t>2272 Jacob Crest Suite 283, Port Isaac, AZ 52116</t>
  </si>
  <si>
    <t>karenrodriguez@example.org</t>
  </si>
  <si>
    <t>Andrew Quinn</t>
  </si>
  <si>
    <t>Unit 5664 Box 3754, DPO AA 72103</t>
  </si>
  <si>
    <t>brookeelliott@example.org</t>
  </si>
  <si>
    <t>Age of the Employee</t>
  </si>
  <si>
    <t>Tenure of the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</si>
</sst>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/m/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 tint="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</borders>
  <cellStyleXfs count="2">
    <xf numFmtId="0" fontId="0" fillId="0" borderId="0"/>
    <xf numFmtId="0" fontId="11" fillId="0" borderId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 readingOrder="1"/>
    </xf>
    <xf numFmtId="0" fontId="7" fillId="7" borderId="0" xfId="0" applyFont="1" applyFill="1"/>
    <xf numFmtId="14" fontId="1" fillId="7" borderId="0" xfId="0" applyNumberFormat="1" applyFont="1" applyFill="1"/>
    <xf numFmtId="9" fontId="8" fillId="0" borderId="1" xfId="0" applyNumberFormat="1" applyFont="1" applyBorder="1" applyAlignment="1">
      <alignment horizontal="center" vertical="center" readingOrder="1"/>
    </xf>
    <xf numFmtId="0" fontId="12" fillId="0" borderId="0" xfId="1" applyFont="1"/>
    <xf numFmtId="0" fontId="11" fillId="0" borderId="0" xfId="1"/>
    <xf numFmtId="0" fontId="13" fillId="0" borderId="0" xfId="1" applyFont="1"/>
    <xf numFmtId="0" fontId="14" fillId="0" borderId="0" xfId="1" applyFont="1" applyAlignment="1">
      <alignment horizontal="center"/>
    </xf>
    <xf numFmtId="14" fontId="14" fillId="0" borderId="0" xfId="1" applyNumberFormat="1" applyFont="1" applyAlignment="1">
      <alignment horizontal="center"/>
    </xf>
    <xf numFmtId="165" fontId="14" fillId="0" borderId="0" xfId="1" applyNumberFormat="1" applyFont="1" applyAlignment="1">
      <alignment horizontal="center"/>
    </xf>
    <xf numFmtId="166" fontId="14" fillId="0" borderId="0" xfId="1" applyNumberFormat="1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" fontId="11" fillId="0" borderId="0" xfId="1" applyNumberFormat="1" applyAlignment="1">
      <alignment horizontal="center" vertical="center"/>
    </xf>
  </cellXfs>
  <cellStyles count="2">
    <cellStyle name="Normal" xfId="0" builtinId="0"/>
    <cellStyle name="Normal 2" xfId="1" xr:uid="{227A7A66-EF8A-445C-B392-D2D7F30F7ECD}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6FF99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te!F4"/><Relationship Id="rId2" Type="http://schemas.openxmlformats.org/officeDocument/2006/relationships/hyperlink" Target="#Date!A56"/><Relationship Id="rId1" Type="http://schemas.openxmlformats.org/officeDocument/2006/relationships/hyperlink" Target="#Date!A33"/><Relationship Id="rId4" Type="http://schemas.openxmlformats.org/officeDocument/2006/relationships/hyperlink" Target="#Ti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me!F4"/><Relationship Id="rId2" Type="http://schemas.openxmlformats.org/officeDocument/2006/relationships/hyperlink" Target="#Time!A56"/><Relationship Id="rId1" Type="http://schemas.openxmlformats.org/officeDocument/2006/relationships/hyperlink" Target="#Time!A33"/><Relationship Id="rId4" Type="http://schemas.openxmlformats.org/officeDocument/2006/relationships/hyperlink" Target="#Day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ys!F4"/><Relationship Id="rId2" Type="http://schemas.openxmlformats.org/officeDocument/2006/relationships/hyperlink" Target="#Days!A54"/><Relationship Id="rId1" Type="http://schemas.openxmlformats.org/officeDocument/2006/relationships/hyperlink" Target="#Days!A32"/><Relationship Id="rId4" Type="http://schemas.openxmlformats.org/officeDocument/2006/relationships/hyperlink" Target="#Da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9C8A1-CB53-4874-A90B-2D7E8C71AA0B}"/>
            </a:ext>
          </a:extLst>
        </xdr:cNvPr>
        <xdr:cNvSpPr/>
      </xdr:nvSpPr>
      <xdr:spPr>
        <a:xfrm>
          <a:off x="7493000" y="3143252"/>
          <a:ext cx="1135062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9" name="Rectangle: Rounded Corner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F22DC1-49C5-4F6B-A76F-FDF9F2051E24}"/>
            </a:ext>
          </a:extLst>
        </xdr:cNvPr>
        <xdr:cNvSpPr/>
      </xdr:nvSpPr>
      <xdr:spPr>
        <a:xfrm>
          <a:off x="8001002" y="7302500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15876</xdr:colOff>
      <xdr:row>0</xdr:row>
      <xdr:rowOff>15876</xdr:rowOff>
    </xdr:from>
    <xdr:to>
      <xdr:col>1</xdr:col>
      <xdr:colOff>678656</xdr:colOff>
      <xdr:row>0</xdr:row>
      <xdr:rowOff>222250</xdr:rowOff>
    </xdr:to>
    <xdr:sp macro="[0]!Sheet1.sumif1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629397-75F8-49D2-9288-67A71F592CE2}"/>
            </a:ext>
          </a:extLst>
        </xdr:cNvPr>
        <xdr:cNvSpPr/>
      </xdr:nvSpPr>
      <xdr:spPr>
        <a:xfrm>
          <a:off x="15876" y="15876"/>
          <a:ext cx="1285874" cy="206374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 textlink="">
      <xdr:nvSpPr>
        <xdr:cNvPr id="3" name="Rectangle: Rounded Corner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49DB03-AA0C-4B20-B82F-989C888EEFA1}"/>
            </a:ext>
          </a:extLst>
        </xdr:cNvPr>
        <xdr:cNvSpPr/>
      </xdr:nvSpPr>
      <xdr:spPr>
        <a:xfrm>
          <a:off x="8389938" y="12890500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FABC2-FD5F-4F4F-9859-0CAB02BC2C56}"/>
            </a:ext>
          </a:extLst>
        </xdr:cNvPr>
        <xdr:cNvSpPr/>
      </xdr:nvSpPr>
      <xdr:spPr>
        <a:xfrm>
          <a:off x="8293100" y="3140077"/>
          <a:ext cx="1138237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AC8208-C0FE-493E-B3C7-1B895484BE1A}"/>
            </a:ext>
          </a:extLst>
        </xdr:cNvPr>
        <xdr:cNvSpPr/>
      </xdr:nvSpPr>
      <xdr:spPr>
        <a:xfrm>
          <a:off x="7999414" y="7299325"/>
          <a:ext cx="1066799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A36DB-E3BB-40B0-BDA9-57D4F1985D7A}"/>
            </a:ext>
          </a:extLst>
        </xdr:cNvPr>
        <xdr:cNvSpPr/>
      </xdr:nvSpPr>
      <xdr:spPr>
        <a:xfrm>
          <a:off x="55563" y="23813"/>
          <a:ext cx="866774" cy="214312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AD60EC-7D93-416F-BA47-4BF93489C3BA}"/>
            </a:ext>
          </a:extLst>
        </xdr:cNvPr>
        <xdr:cNvSpPr/>
      </xdr:nvSpPr>
      <xdr:spPr>
        <a:xfrm>
          <a:off x="8391525" y="12887325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DD14B-E477-480C-A354-16C0DD567B26}"/>
            </a:ext>
          </a:extLst>
        </xdr:cNvPr>
        <xdr:cNvSpPr/>
      </xdr:nvSpPr>
      <xdr:spPr>
        <a:xfrm>
          <a:off x="8293100" y="3140077"/>
          <a:ext cx="1138237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0FCBEF-C357-4B37-A748-4FD94B51CA52}"/>
            </a:ext>
          </a:extLst>
        </xdr:cNvPr>
        <xdr:cNvSpPr/>
      </xdr:nvSpPr>
      <xdr:spPr>
        <a:xfrm>
          <a:off x="7999414" y="7299325"/>
          <a:ext cx="1066799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FBB01A-EA11-4299-A063-4677A3D5C3AF}"/>
            </a:ext>
          </a:extLst>
        </xdr:cNvPr>
        <xdr:cNvSpPr/>
      </xdr:nvSpPr>
      <xdr:spPr>
        <a:xfrm>
          <a:off x="55563" y="23813"/>
          <a:ext cx="866774" cy="214312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8</xdr:col>
      <xdr:colOff>865188</xdr:colOff>
      <xdr:row>52</xdr:row>
      <xdr:rowOff>174625</xdr:rowOff>
    </xdr:from>
    <xdr:to>
      <xdr:col>9</xdr:col>
      <xdr:colOff>912812</xdr:colOff>
      <xdr:row>54</xdr:row>
      <xdr:rowOff>39689</xdr:rowOff>
    </xdr:to>
    <xdr:sp macro="[0]!Sheet4.averageif1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8DE3AE-A802-41D7-9957-C3038790076E}"/>
            </a:ext>
          </a:extLst>
        </xdr:cNvPr>
        <xdr:cNvSpPr/>
      </xdr:nvSpPr>
      <xdr:spPr>
        <a:xfrm>
          <a:off x="8239126" y="12588875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Home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drawing" Target="../drawings/drawing1.xml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7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8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4.bin"/><Relationship Id="rId21" Type="http://schemas.openxmlformats.org/officeDocument/2006/relationships/printerSettings" Target="../printerSettings/printerSettings99.bin"/><Relationship Id="rId42" Type="http://schemas.openxmlformats.org/officeDocument/2006/relationships/printerSettings" Target="../printerSettings/printerSettings120.bin"/><Relationship Id="rId47" Type="http://schemas.openxmlformats.org/officeDocument/2006/relationships/printerSettings" Target="../printerSettings/printerSettings125.bin"/><Relationship Id="rId63" Type="http://schemas.openxmlformats.org/officeDocument/2006/relationships/printerSettings" Target="../printerSettings/printerSettings141.bin"/><Relationship Id="rId68" Type="http://schemas.openxmlformats.org/officeDocument/2006/relationships/printerSettings" Target="../printerSettings/printerSettings146.bin"/><Relationship Id="rId2" Type="http://schemas.openxmlformats.org/officeDocument/2006/relationships/printerSettings" Target="../printerSettings/printerSettings80.bin"/><Relationship Id="rId16" Type="http://schemas.openxmlformats.org/officeDocument/2006/relationships/printerSettings" Target="../printerSettings/printerSettings94.bin"/><Relationship Id="rId29" Type="http://schemas.openxmlformats.org/officeDocument/2006/relationships/printerSettings" Target="../printerSettings/printerSettings107.bin"/><Relationship Id="rId11" Type="http://schemas.openxmlformats.org/officeDocument/2006/relationships/printerSettings" Target="../printerSettings/printerSettings89.bin"/><Relationship Id="rId24" Type="http://schemas.openxmlformats.org/officeDocument/2006/relationships/printerSettings" Target="../printerSettings/printerSettings102.bin"/><Relationship Id="rId32" Type="http://schemas.openxmlformats.org/officeDocument/2006/relationships/printerSettings" Target="../printerSettings/printerSettings110.bin"/><Relationship Id="rId37" Type="http://schemas.openxmlformats.org/officeDocument/2006/relationships/printerSettings" Target="../printerSettings/printerSettings115.bin"/><Relationship Id="rId40" Type="http://schemas.openxmlformats.org/officeDocument/2006/relationships/printerSettings" Target="../printerSettings/printerSettings118.bin"/><Relationship Id="rId45" Type="http://schemas.openxmlformats.org/officeDocument/2006/relationships/printerSettings" Target="../printerSettings/printerSettings123.bin"/><Relationship Id="rId53" Type="http://schemas.openxmlformats.org/officeDocument/2006/relationships/printerSettings" Target="../printerSettings/printerSettings131.bin"/><Relationship Id="rId58" Type="http://schemas.openxmlformats.org/officeDocument/2006/relationships/printerSettings" Target="../printerSettings/printerSettings136.bin"/><Relationship Id="rId66" Type="http://schemas.openxmlformats.org/officeDocument/2006/relationships/printerSettings" Target="../printerSettings/printerSettings144.bin"/><Relationship Id="rId74" Type="http://schemas.openxmlformats.org/officeDocument/2006/relationships/printerSettings" Target="../printerSettings/printerSettings152.bin"/><Relationship Id="rId5" Type="http://schemas.openxmlformats.org/officeDocument/2006/relationships/printerSettings" Target="../printerSettings/printerSettings83.bin"/><Relationship Id="rId61" Type="http://schemas.openxmlformats.org/officeDocument/2006/relationships/printerSettings" Target="../printerSettings/printerSettings139.bin"/><Relationship Id="rId19" Type="http://schemas.openxmlformats.org/officeDocument/2006/relationships/printerSettings" Target="../printerSettings/printerSettings97.bin"/><Relationship Id="rId14" Type="http://schemas.openxmlformats.org/officeDocument/2006/relationships/printerSettings" Target="../printerSettings/printerSettings92.bin"/><Relationship Id="rId22" Type="http://schemas.openxmlformats.org/officeDocument/2006/relationships/printerSettings" Target="../printerSettings/printerSettings100.bin"/><Relationship Id="rId27" Type="http://schemas.openxmlformats.org/officeDocument/2006/relationships/printerSettings" Target="../printerSettings/printerSettings105.bin"/><Relationship Id="rId30" Type="http://schemas.openxmlformats.org/officeDocument/2006/relationships/printerSettings" Target="../printerSettings/printerSettings108.bin"/><Relationship Id="rId35" Type="http://schemas.openxmlformats.org/officeDocument/2006/relationships/printerSettings" Target="../printerSettings/printerSettings113.bin"/><Relationship Id="rId43" Type="http://schemas.openxmlformats.org/officeDocument/2006/relationships/printerSettings" Target="../printerSettings/printerSettings121.bin"/><Relationship Id="rId48" Type="http://schemas.openxmlformats.org/officeDocument/2006/relationships/printerSettings" Target="../printerSettings/printerSettings126.bin"/><Relationship Id="rId56" Type="http://schemas.openxmlformats.org/officeDocument/2006/relationships/printerSettings" Target="../printerSettings/printerSettings134.bin"/><Relationship Id="rId64" Type="http://schemas.openxmlformats.org/officeDocument/2006/relationships/printerSettings" Target="../printerSettings/printerSettings142.bin"/><Relationship Id="rId69" Type="http://schemas.openxmlformats.org/officeDocument/2006/relationships/printerSettings" Target="../printerSettings/printerSettings147.bin"/><Relationship Id="rId8" Type="http://schemas.openxmlformats.org/officeDocument/2006/relationships/printerSettings" Target="../printerSettings/printerSettings86.bin"/><Relationship Id="rId51" Type="http://schemas.openxmlformats.org/officeDocument/2006/relationships/printerSettings" Target="../printerSettings/printerSettings129.bin"/><Relationship Id="rId72" Type="http://schemas.openxmlformats.org/officeDocument/2006/relationships/printerSettings" Target="../printerSettings/printerSettings150.bin"/><Relationship Id="rId3" Type="http://schemas.openxmlformats.org/officeDocument/2006/relationships/printerSettings" Target="../printerSettings/printerSettings81.bin"/><Relationship Id="rId12" Type="http://schemas.openxmlformats.org/officeDocument/2006/relationships/printerSettings" Target="../printerSettings/printerSettings90.bin"/><Relationship Id="rId17" Type="http://schemas.openxmlformats.org/officeDocument/2006/relationships/printerSettings" Target="../printerSettings/printerSettings95.bin"/><Relationship Id="rId25" Type="http://schemas.openxmlformats.org/officeDocument/2006/relationships/printerSettings" Target="../printerSettings/printerSettings103.bin"/><Relationship Id="rId33" Type="http://schemas.openxmlformats.org/officeDocument/2006/relationships/printerSettings" Target="../printerSettings/printerSettings111.bin"/><Relationship Id="rId38" Type="http://schemas.openxmlformats.org/officeDocument/2006/relationships/printerSettings" Target="../printerSettings/printerSettings116.bin"/><Relationship Id="rId46" Type="http://schemas.openxmlformats.org/officeDocument/2006/relationships/printerSettings" Target="../printerSettings/printerSettings124.bin"/><Relationship Id="rId59" Type="http://schemas.openxmlformats.org/officeDocument/2006/relationships/printerSettings" Target="../printerSettings/printerSettings137.bin"/><Relationship Id="rId67" Type="http://schemas.openxmlformats.org/officeDocument/2006/relationships/printerSettings" Target="../printerSettings/printerSettings145.bin"/><Relationship Id="rId20" Type="http://schemas.openxmlformats.org/officeDocument/2006/relationships/printerSettings" Target="../printerSettings/printerSettings98.bin"/><Relationship Id="rId41" Type="http://schemas.openxmlformats.org/officeDocument/2006/relationships/printerSettings" Target="../printerSettings/printerSettings119.bin"/><Relationship Id="rId54" Type="http://schemas.openxmlformats.org/officeDocument/2006/relationships/printerSettings" Target="../printerSettings/printerSettings132.bin"/><Relationship Id="rId62" Type="http://schemas.openxmlformats.org/officeDocument/2006/relationships/printerSettings" Target="../printerSettings/printerSettings140.bin"/><Relationship Id="rId70" Type="http://schemas.openxmlformats.org/officeDocument/2006/relationships/printerSettings" Target="../printerSettings/printerSettings148.bin"/><Relationship Id="rId75" Type="http://schemas.openxmlformats.org/officeDocument/2006/relationships/printerSettings" Target="../printerSettings/printerSettings153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15" Type="http://schemas.openxmlformats.org/officeDocument/2006/relationships/printerSettings" Target="../printerSettings/printerSettings93.bin"/><Relationship Id="rId23" Type="http://schemas.openxmlformats.org/officeDocument/2006/relationships/printerSettings" Target="../printerSettings/printerSettings101.bin"/><Relationship Id="rId28" Type="http://schemas.openxmlformats.org/officeDocument/2006/relationships/printerSettings" Target="../printerSettings/printerSettings106.bin"/><Relationship Id="rId36" Type="http://schemas.openxmlformats.org/officeDocument/2006/relationships/printerSettings" Target="../printerSettings/printerSettings114.bin"/><Relationship Id="rId49" Type="http://schemas.openxmlformats.org/officeDocument/2006/relationships/printerSettings" Target="../printerSettings/printerSettings127.bin"/><Relationship Id="rId57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88.bin"/><Relationship Id="rId31" Type="http://schemas.openxmlformats.org/officeDocument/2006/relationships/printerSettings" Target="../printerSettings/printerSettings109.bin"/><Relationship Id="rId44" Type="http://schemas.openxmlformats.org/officeDocument/2006/relationships/printerSettings" Target="../printerSettings/printerSettings122.bin"/><Relationship Id="rId52" Type="http://schemas.openxmlformats.org/officeDocument/2006/relationships/printerSettings" Target="../printerSettings/printerSettings130.bin"/><Relationship Id="rId60" Type="http://schemas.openxmlformats.org/officeDocument/2006/relationships/printerSettings" Target="../printerSettings/printerSettings138.bin"/><Relationship Id="rId65" Type="http://schemas.openxmlformats.org/officeDocument/2006/relationships/printerSettings" Target="../printerSettings/printerSettings143.bin"/><Relationship Id="rId73" Type="http://schemas.openxmlformats.org/officeDocument/2006/relationships/printerSettings" Target="../printerSettings/printerSettings151.bin"/><Relationship Id="rId4" Type="http://schemas.openxmlformats.org/officeDocument/2006/relationships/printerSettings" Target="../printerSettings/printerSettings82.bin"/><Relationship Id="rId9" Type="http://schemas.openxmlformats.org/officeDocument/2006/relationships/printerSettings" Target="../printerSettings/printerSettings87.bin"/><Relationship Id="rId13" Type="http://schemas.openxmlformats.org/officeDocument/2006/relationships/printerSettings" Target="../printerSettings/printerSettings91.bin"/><Relationship Id="rId18" Type="http://schemas.openxmlformats.org/officeDocument/2006/relationships/printerSettings" Target="../printerSettings/printerSettings96.bin"/><Relationship Id="rId39" Type="http://schemas.openxmlformats.org/officeDocument/2006/relationships/printerSettings" Target="../printerSettings/printerSettings117.bin"/><Relationship Id="rId34" Type="http://schemas.openxmlformats.org/officeDocument/2006/relationships/printerSettings" Target="../printerSettings/printerSettings112.bin"/><Relationship Id="rId50" Type="http://schemas.openxmlformats.org/officeDocument/2006/relationships/printerSettings" Target="../printerSettings/printerSettings128.bin"/><Relationship Id="rId55" Type="http://schemas.openxmlformats.org/officeDocument/2006/relationships/printerSettings" Target="../printerSettings/printerSettings133.bin"/><Relationship Id="rId76" Type="http://schemas.openxmlformats.org/officeDocument/2006/relationships/printerSettings" Target="../printerSettings/printerSettings154.bin"/><Relationship Id="rId7" Type="http://schemas.openxmlformats.org/officeDocument/2006/relationships/printerSettings" Target="../printerSettings/printerSettings85.bin"/><Relationship Id="rId71" Type="http://schemas.openxmlformats.org/officeDocument/2006/relationships/printerSettings" Target="../printerSettings/printerSettings1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D679-BBB8-44F0-B28F-9E16A9FB1BA6}">
  <sheetPr codeName="Sheet1">
    <pageSetUpPr autoPageBreaks="0"/>
  </sheetPr>
  <dimension ref="B1:M54"/>
  <sheetViews>
    <sheetView showGridLines="0" zoomScale="120" zoomScaleNormal="110" workbookViewId="0">
      <selection activeCell="F4" sqref="F4"/>
    </sheetView>
  </sheetViews>
  <sheetFormatPr defaultColWidth="9.1328125" defaultRowHeight="18" x14ac:dyDescent="0.55000000000000004"/>
  <cols>
    <col min="1" max="1" width="8.73046875" style="7" customWidth="1"/>
    <col min="2" max="2" width="17.1328125" style="7" bestFit="1" customWidth="1"/>
    <col min="3" max="3" width="8.265625" style="7" bestFit="1" customWidth="1"/>
    <col min="4" max="4" width="13.86328125" style="7" bestFit="1" customWidth="1"/>
    <col min="5" max="5" width="22.1328125" style="7" bestFit="1" customWidth="1"/>
    <col min="6" max="6" width="17.265625" style="7" bestFit="1" customWidth="1"/>
    <col min="7" max="7" width="9.1328125" style="7"/>
    <col min="8" max="8" width="14" style="7" customWidth="1"/>
    <col min="9" max="9" width="15.265625" style="7" customWidth="1"/>
    <col min="10" max="10" width="18.86328125" style="7" customWidth="1"/>
    <col min="11" max="16384" width="9.1328125" style="7"/>
  </cols>
  <sheetData>
    <row r="1" spans="2:13" x14ac:dyDescent="0.55000000000000004">
      <c r="F1" s="9" t="s">
        <v>37</v>
      </c>
      <c r="G1" s="12"/>
    </row>
    <row r="3" spans="2:13" x14ac:dyDescent="0.55000000000000004">
      <c r="B3" s="9" t="s">
        <v>32</v>
      </c>
      <c r="C3" s="9" t="s">
        <v>33</v>
      </c>
      <c r="D3" s="9" t="s">
        <v>39</v>
      </c>
      <c r="E3" s="9" t="s">
        <v>36</v>
      </c>
      <c r="F3" s="9" t="s">
        <v>38</v>
      </c>
    </row>
    <row r="4" spans="2:13" x14ac:dyDescent="0.55000000000000004">
      <c r="B4" s="8" t="s">
        <v>31</v>
      </c>
      <c r="C4" s="8">
        <v>7.85</v>
      </c>
      <c r="D4" s="8" t="s">
        <v>40</v>
      </c>
      <c r="E4" s="11">
        <v>44888.4765625</v>
      </c>
      <c r="F4" s="8"/>
    </row>
    <row r="5" spans="2:13" ht="18.75" customHeight="1" x14ac:dyDescent="0.55000000000000004">
      <c r="B5" s="8" t="s">
        <v>30</v>
      </c>
      <c r="C5" s="8">
        <v>3.25</v>
      </c>
      <c r="D5" s="8" t="s">
        <v>40</v>
      </c>
      <c r="E5" s="11">
        <v>45232.487638888888</v>
      </c>
      <c r="F5" s="8"/>
    </row>
    <row r="6" spans="2:13" ht="21" customHeight="1" x14ac:dyDescent="0.55000000000000004">
      <c r="B6" s="8" t="s">
        <v>29</v>
      </c>
      <c r="C6" s="8">
        <v>12.5</v>
      </c>
      <c r="D6" s="8" t="s">
        <v>40</v>
      </c>
      <c r="E6" s="11">
        <v>45253.499027777776</v>
      </c>
      <c r="F6" s="8"/>
    </row>
    <row r="7" spans="2:13" ht="18.75" customHeight="1" x14ac:dyDescent="0.55000000000000004">
      <c r="B7" s="8" t="s">
        <v>28</v>
      </c>
      <c r="C7" s="8">
        <v>6.35</v>
      </c>
      <c r="D7" s="8" t="s">
        <v>40</v>
      </c>
      <c r="E7" s="11">
        <v>44852.505381944444</v>
      </c>
      <c r="F7" s="8"/>
      <c r="H7" s="22" t="s">
        <v>41</v>
      </c>
      <c r="I7" s="22"/>
      <c r="J7" s="22"/>
      <c r="M7" s="10">
        <f>SUMIF(E4:E15,"Mar",C4:C15)</f>
        <v>0</v>
      </c>
    </row>
    <row r="8" spans="2:13" x14ac:dyDescent="0.55000000000000004">
      <c r="B8" s="8" t="s">
        <v>27</v>
      </c>
      <c r="C8" s="8">
        <v>2.5</v>
      </c>
      <c r="D8" s="8" t="s">
        <v>40</v>
      </c>
      <c r="E8" s="11">
        <v>44888.520162037035</v>
      </c>
      <c r="F8" s="8"/>
      <c r="H8" s="22"/>
      <c r="I8" s="22"/>
      <c r="J8" s="22"/>
    </row>
    <row r="9" spans="2:13" x14ac:dyDescent="0.55000000000000004">
      <c r="B9" s="8" t="s">
        <v>26</v>
      </c>
      <c r="C9" s="8">
        <v>6.5</v>
      </c>
      <c r="D9" s="8" t="s">
        <v>40</v>
      </c>
      <c r="E9" s="11">
        <v>44923.573692129627</v>
      </c>
      <c r="F9" s="8"/>
    </row>
    <row r="10" spans="2:13" x14ac:dyDescent="0.55000000000000004">
      <c r="B10" s="8" t="s">
        <v>31</v>
      </c>
      <c r="C10" s="8">
        <v>8.75</v>
      </c>
      <c r="D10" s="8" t="s">
        <v>40</v>
      </c>
      <c r="E10" s="11">
        <v>44888.593831018516</v>
      </c>
      <c r="F10" s="8"/>
    </row>
    <row r="11" spans="2:13" x14ac:dyDescent="0.55000000000000004">
      <c r="B11" s="8" t="s">
        <v>28</v>
      </c>
      <c r="C11" s="8">
        <v>4.6500000000000004</v>
      </c>
      <c r="D11" s="8" t="s">
        <v>40</v>
      </c>
      <c r="E11" s="11">
        <v>44888.656423611108</v>
      </c>
      <c r="F11" s="8"/>
    </row>
    <row r="12" spans="2:13" x14ac:dyDescent="0.55000000000000004">
      <c r="B12" s="8" t="s">
        <v>31</v>
      </c>
      <c r="C12" s="8">
        <v>12.85</v>
      </c>
      <c r="D12" s="8" t="s">
        <v>40</v>
      </c>
      <c r="E12" s="11">
        <v>44889.675300925926</v>
      </c>
      <c r="F12" s="8"/>
    </row>
    <row r="13" spans="2:13" ht="18.75" customHeight="1" x14ac:dyDescent="0.55000000000000004">
      <c r="B13" s="8" t="s">
        <v>30</v>
      </c>
      <c r="C13" s="8">
        <v>8.25</v>
      </c>
      <c r="D13" s="8" t="s">
        <v>40</v>
      </c>
      <c r="E13" s="11">
        <v>44888.686539351853</v>
      </c>
      <c r="F13" s="8"/>
    </row>
    <row r="14" spans="2:13" x14ac:dyDescent="0.55000000000000004">
      <c r="B14" s="8" t="s">
        <v>29</v>
      </c>
      <c r="C14" s="8">
        <v>13.5</v>
      </c>
      <c r="D14" s="8" t="s">
        <v>40</v>
      </c>
      <c r="E14" s="11">
        <v>44888.70815972222</v>
      </c>
      <c r="F14" s="8"/>
    </row>
    <row r="15" spans="2:13" x14ac:dyDescent="0.55000000000000004">
      <c r="B15" s="8" t="s">
        <v>28</v>
      </c>
      <c r="C15" s="8">
        <v>9.9499999999999993</v>
      </c>
      <c r="D15" s="8" t="s">
        <v>40</v>
      </c>
      <c r="E15" s="11">
        <v>44888.783391203702</v>
      </c>
      <c r="F15" s="8"/>
    </row>
    <row r="19" spans="2:13" x14ac:dyDescent="0.55000000000000004">
      <c r="B19" s="9" t="s">
        <v>32</v>
      </c>
      <c r="C19" s="9" t="s">
        <v>33</v>
      </c>
      <c r="D19" s="9" t="s">
        <v>39</v>
      </c>
      <c r="E19" s="9" t="s">
        <v>36</v>
      </c>
      <c r="F19" s="9" t="s">
        <v>35</v>
      </c>
    </row>
    <row r="20" spans="2:13" x14ac:dyDescent="0.55000000000000004">
      <c r="B20" s="8" t="s">
        <v>31</v>
      </c>
      <c r="C20" s="8">
        <v>7.85</v>
      </c>
      <c r="D20" s="8" t="s">
        <v>40</v>
      </c>
      <c r="E20" s="11">
        <v>44888.4765625</v>
      </c>
      <c r="F20" s="8"/>
    </row>
    <row r="21" spans="2:13" x14ac:dyDescent="0.55000000000000004">
      <c r="B21" s="8" t="s">
        <v>30</v>
      </c>
      <c r="C21" s="8">
        <v>3.25</v>
      </c>
      <c r="D21" s="8" t="s">
        <v>40</v>
      </c>
      <c r="E21" s="11">
        <v>45232.487638888888</v>
      </c>
      <c r="F21" s="8"/>
    </row>
    <row r="22" spans="2:13" x14ac:dyDescent="0.55000000000000004">
      <c r="B22" s="8" t="s">
        <v>29</v>
      </c>
      <c r="C22" s="8">
        <v>12.5</v>
      </c>
      <c r="D22" s="8" t="s">
        <v>40</v>
      </c>
      <c r="E22" s="11">
        <v>45253.499027777776</v>
      </c>
      <c r="F22" s="8"/>
    </row>
    <row r="23" spans="2:13" ht="18.75" customHeight="1" x14ac:dyDescent="0.55000000000000004">
      <c r="B23" s="8" t="s">
        <v>28</v>
      </c>
      <c r="C23" s="8">
        <v>6.35</v>
      </c>
      <c r="D23" s="8" t="s">
        <v>40</v>
      </c>
      <c r="E23" s="11">
        <v>44852.505381944444</v>
      </c>
      <c r="F23" s="8"/>
      <c r="H23" s="22" t="s">
        <v>41</v>
      </c>
      <c r="I23" s="22"/>
      <c r="J23" s="22"/>
      <c r="M23" s="10">
        <f>SUMIF(D20:D31,"Amazon",C20:C31)</f>
        <v>0</v>
      </c>
    </row>
    <row r="24" spans="2:13" x14ac:dyDescent="0.55000000000000004">
      <c r="B24" s="8" t="s">
        <v>27</v>
      </c>
      <c r="C24" s="8">
        <v>2.5</v>
      </c>
      <c r="D24" s="8" t="s">
        <v>40</v>
      </c>
      <c r="E24" s="11">
        <v>44888.520162037035</v>
      </c>
      <c r="F24" s="8"/>
      <c r="H24" s="22"/>
      <c r="I24" s="22"/>
      <c r="J24" s="22"/>
    </row>
    <row r="25" spans="2:13" x14ac:dyDescent="0.55000000000000004">
      <c r="B25" s="8" t="s">
        <v>26</v>
      </c>
      <c r="C25" s="8">
        <v>6.5</v>
      </c>
      <c r="D25" s="8" t="s">
        <v>40</v>
      </c>
      <c r="E25" s="11">
        <v>44923.573692129627</v>
      </c>
      <c r="F25" s="8"/>
    </row>
    <row r="26" spans="2:13" x14ac:dyDescent="0.55000000000000004">
      <c r="B26" s="8" t="s">
        <v>31</v>
      </c>
      <c r="C26" s="8">
        <v>8.75</v>
      </c>
      <c r="D26" s="8" t="s">
        <v>40</v>
      </c>
      <c r="E26" s="11">
        <v>44888.593831018516</v>
      </c>
      <c r="F26" s="8"/>
    </row>
    <row r="27" spans="2:13" x14ac:dyDescent="0.55000000000000004">
      <c r="B27" s="8" t="s">
        <v>28</v>
      </c>
      <c r="C27" s="8">
        <v>4.6500000000000004</v>
      </c>
      <c r="D27" s="8" t="s">
        <v>40</v>
      </c>
      <c r="E27" s="11">
        <v>44888.656423611108</v>
      </c>
      <c r="F27" s="8"/>
    </row>
    <row r="28" spans="2:13" x14ac:dyDescent="0.55000000000000004">
      <c r="B28" s="8" t="s">
        <v>31</v>
      </c>
      <c r="C28" s="8">
        <v>12.85</v>
      </c>
      <c r="D28" s="8" t="s">
        <v>40</v>
      </c>
      <c r="E28" s="11">
        <v>44889.675300925926</v>
      </c>
      <c r="F28" s="8"/>
    </row>
    <row r="29" spans="2:13" x14ac:dyDescent="0.55000000000000004">
      <c r="B29" s="8" t="s">
        <v>30</v>
      </c>
      <c r="C29" s="8">
        <v>8.25</v>
      </c>
      <c r="D29" s="8" t="s">
        <v>40</v>
      </c>
      <c r="E29" s="11">
        <v>44888.686539351853</v>
      </c>
      <c r="F29" s="8"/>
    </row>
    <row r="30" spans="2:13" x14ac:dyDescent="0.55000000000000004">
      <c r="B30" s="8" t="s">
        <v>29</v>
      </c>
      <c r="C30" s="8">
        <v>13.5</v>
      </c>
      <c r="D30" s="8" t="s">
        <v>40</v>
      </c>
      <c r="E30" s="11">
        <v>44888.70815972222</v>
      </c>
      <c r="F30" s="8"/>
    </row>
    <row r="31" spans="2:13" x14ac:dyDescent="0.55000000000000004">
      <c r="B31" s="8" t="s">
        <v>28</v>
      </c>
      <c r="C31" s="8">
        <v>9.9499999999999993</v>
      </c>
      <c r="D31" s="8" t="s">
        <v>40</v>
      </c>
      <c r="E31" s="11">
        <v>44888.783391203702</v>
      </c>
      <c r="F31" s="8"/>
    </row>
    <row r="42" spans="2:13" x14ac:dyDescent="0.55000000000000004">
      <c r="B42" s="9" t="s">
        <v>32</v>
      </c>
      <c r="C42" s="9" t="s">
        <v>33</v>
      </c>
      <c r="D42" s="9" t="s">
        <v>39</v>
      </c>
      <c r="E42" s="9" t="s">
        <v>36</v>
      </c>
      <c r="F42" s="9" t="s">
        <v>51</v>
      </c>
    </row>
    <row r="43" spans="2:13" x14ac:dyDescent="0.55000000000000004">
      <c r="B43" s="8" t="s">
        <v>31</v>
      </c>
      <c r="C43" s="8">
        <v>7.85</v>
      </c>
      <c r="D43" s="8" t="s">
        <v>40</v>
      </c>
      <c r="E43" s="11">
        <v>44888.4765625</v>
      </c>
      <c r="F43" s="8"/>
    </row>
    <row r="44" spans="2:13" x14ac:dyDescent="0.55000000000000004">
      <c r="B44" s="8" t="s">
        <v>30</v>
      </c>
      <c r="C44" s="8">
        <v>3.25</v>
      </c>
      <c r="D44" s="8" t="s">
        <v>40</v>
      </c>
      <c r="E44" s="11">
        <v>45232.487638888888</v>
      </c>
      <c r="F44" s="8"/>
    </row>
    <row r="45" spans="2:13" x14ac:dyDescent="0.55000000000000004">
      <c r="B45" s="8" t="s">
        <v>29</v>
      </c>
      <c r="C45" s="8">
        <v>12.5</v>
      </c>
      <c r="D45" s="8" t="s">
        <v>40</v>
      </c>
      <c r="E45" s="11">
        <v>45253.499027777776</v>
      </c>
      <c r="F45" s="8"/>
    </row>
    <row r="46" spans="2:13" ht="18.75" customHeight="1" x14ac:dyDescent="0.55000000000000004">
      <c r="B46" s="8" t="s">
        <v>28</v>
      </c>
      <c r="C46" s="8">
        <v>6.35</v>
      </c>
      <c r="D46" s="8" t="s">
        <v>40</v>
      </c>
      <c r="E46" s="11">
        <v>44852.505381944444</v>
      </c>
      <c r="F46" s="8"/>
      <c r="H46" s="22" t="s">
        <v>42</v>
      </c>
      <c r="I46" s="22"/>
      <c r="J46" s="22"/>
      <c r="M46" s="10">
        <f>SUMIF(D43:D54,"Amazon",C43:C54)</f>
        <v>0</v>
      </c>
    </row>
    <row r="47" spans="2:13" x14ac:dyDescent="0.55000000000000004">
      <c r="B47" s="8" t="s">
        <v>27</v>
      </c>
      <c r="C47" s="8">
        <v>2.5</v>
      </c>
      <c r="D47" s="8" t="s">
        <v>40</v>
      </c>
      <c r="E47" s="11">
        <v>44888.520162037035</v>
      </c>
      <c r="F47" s="8"/>
      <c r="H47" s="22"/>
      <c r="I47" s="22"/>
      <c r="J47" s="22"/>
    </row>
    <row r="48" spans="2:13" x14ac:dyDescent="0.55000000000000004">
      <c r="B48" s="8" t="s">
        <v>26</v>
      </c>
      <c r="C48" s="8">
        <v>6.5</v>
      </c>
      <c r="D48" s="8" t="s">
        <v>40</v>
      </c>
      <c r="E48" s="11">
        <v>44923.573692129627</v>
      </c>
      <c r="F48" s="8"/>
    </row>
    <row r="49" spans="2:6" x14ac:dyDescent="0.55000000000000004">
      <c r="B49" s="8" t="s">
        <v>31</v>
      </c>
      <c r="C49" s="8">
        <v>8.75</v>
      </c>
      <c r="D49" s="8" t="s">
        <v>40</v>
      </c>
      <c r="E49" s="11">
        <v>44888.593831018516</v>
      </c>
      <c r="F49" s="8"/>
    </row>
    <row r="50" spans="2:6" x14ac:dyDescent="0.55000000000000004">
      <c r="B50" s="8" t="s">
        <v>28</v>
      </c>
      <c r="C50" s="8">
        <v>4.6500000000000004</v>
      </c>
      <c r="D50" s="8" t="s">
        <v>40</v>
      </c>
      <c r="E50" s="11">
        <v>44888.656423611108</v>
      </c>
      <c r="F50" s="8"/>
    </row>
    <row r="51" spans="2:6" x14ac:dyDescent="0.55000000000000004">
      <c r="B51" s="8" t="s">
        <v>31</v>
      </c>
      <c r="C51" s="8">
        <v>12.85</v>
      </c>
      <c r="D51" s="8" t="s">
        <v>40</v>
      </c>
      <c r="E51" s="11">
        <v>44889.675300925926</v>
      </c>
      <c r="F51" s="8"/>
    </row>
    <row r="52" spans="2:6" x14ac:dyDescent="0.55000000000000004">
      <c r="B52" s="8" t="s">
        <v>30</v>
      </c>
      <c r="C52" s="8">
        <v>8.25</v>
      </c>
      <c r="D52" s="8" t="s">
        <v>40</v>
      </c>
      <c r="E52" s="11">
        <v>44888.686539351853</v>
      </c>
      <c r="F52" s="8"/>
    </row>
    <row r="53" spans="2:6" x14ac:dyDescent="0.55000000000000004">
      <c r="B53" s="8" t="s">
        <v>29</v>
      </c>
      <c r="C53" s="8">
        <v>13.5</v>
      </c>
      <c r="D53" s="8" t="s">
        <v>40</v>
      </c>
      <c r="E53" s="11">
        <v>44888.70815972222</v>
      </c>
      <c r="F53" s="8"/>
    </row>
    <row r="54" spans="2:6" x14ac:dyDescent="0.55000000000000004">
      <c r="B54" s="8" t="s">
        <v>28</v>
      </c>
      <c r="C54" s="8">
        <v>9.9499999999999993</v>
      </c>
      <c r="D54" s="8" t="s">
        <v>40</v>
      </c>
      <c r="E54" s="11">
        <v>44888.783391203702</v>
      </c>
      <c r="F54" s="8"/>
    </row>
  </sheetData>
  <customSheetViews>
    <customSheetView guid="{576A445C-3D9A-438D-AC68-B679E3D65634}" scale="120" showGridLines="0" topLeftCell="A73">
      <selection activeCell="H78" sqref="H78:I79"/>
      <pageMargins left="0.7" right="0.7" top="0.75" bottom="0.75" header="0.3" footer="0.3"/>
      <pageSetup orientation="portrait" r:id="rId1"/>
    </customSheetView>
    <customSheetView guid="{C1FEC2CE-0AE0-4F12-8438-BD3D230D3830}" scale="120" showGridLines="0" topLeftCell="A73">
      <selection activeCell="H78" sqref="H78:I79"/>
      <pageMargins left="0.7" right="0.7" top="0.75" bottom="0.75" header="0.3" footer="0.3"/>
      <pageSetup orientation="portrait" r:id="rId2"/>
    </customSheetView>
    <customSheetView guid="{A3C7F73E-8288-4122-801A-9A426BB0DFB8}" scale="120" showGridLines="0" topLeftCell="A73">
      <selection activeCell="H78" sqref="H78:I79"/>
      <pageMargins left="0.7" right="0.7" top="0.75" bottom="0.75" header="0.3" footer="0.3"/>
      <pageSetup orientation="portrait" r:id="rId3"/>
    </customSheetView>
    <customSheetView guid="{F102CDDA-1DB7-4BD5-8A8F-CD5640485596}" scale="120" showGridLines="0" topLeftCell="A73">
      <selection activeCell="H78" sqref="H78:I79"/>
      <pageMargins left="0.7" right="0.7" top="0.75" bottom="0.75" header="0.3" footer="0.3"/>
      <pageSetup orientation="portrait" r:id="rId4"/>
    </customSheetView>
    <customSheetView guid="{E18774DE-EF27-4708-91D7-FE2A7EE4C992}" scale="120" showGridLines="0" topLeftCell="A73">
      <selection activeCell="H78" sqref="H78:I79"/>
      <pageMargins left="0.7" right="0.7" top="0.75" bottom="0.75" header="0.3" footer="0.3"/>
      <pageSetup orientation="portrait" r:id="rId5"/>
    </customSheetView>
    <customSheetView guid="{E3977DAC-58A9-43A5-A2CD-037AE84A3934}" scale="120" showGridLines="0" topLeftCell="A73">
      <selection activeCell="H78" sqref="H78:I79"/>
      <pageMargins left="0.7" right="0.7" top="0.75" bottom="0.75" header="0.3" footer="0.3"/>
      <pageSetup orientation="portrait" r:id="rId6"/>
    </customSheetView>
    <customSheetView guid="{0BFB30CE-F6D9-44B3-99BA-62858BF46600}" scale="120" showGridLines="0" topLeftCell="A73">
      <selection activeCell="H78" sqref="H78:I79"/>
      <pageMargins left="0.7" right="0.7" top="0.75" bottom="0.75" header="0.3" footer="0.3"/>
      <pageSetup orientation="portrait" r:id="rId7"/>
    </customSheetView>
    <customSheetView guid="{EF2006E2-DE9B-4938-AD6F-8255BE7D529F}" scale="120" showGridLines="0" topLeftCell="A73">
      <selection activeCell="H78" sqref="H78:I79"/>
      <pageMargins left="0.7" right="0.7" top="0.75" bottom="0.75" header="0.3" footer="0.3"/>
      <pageSetup orientation="portrait" r:id="rId8"/>
    </customSheetView>
    <customSheetView guid="{5B4753E1-B7DC-40C2-A28F-B07A6CB075FE}" scale="120" showGridLines="0" topLeftCell="A73">
      <selection activeCell="H78" sqref="H78:I79"/>
      <pageMargins left="0.7" right="0.7" top="0.75" bottom="0.75" header="0.3" footer="0.3"/>
      <pageSetup orientation="portrait" r:id="rId9"/>
    </customSheetView>
    <customSheetView guid="{672B3D91-11D6-418C-A856-9FF74CE5E6FB}" scale="120" showGridLines="0" topLeftCell="A73">
      <selection activeCell="H78" sqref="H78:I79"/>
      <pageMargins left="0.7" right="0.7" top="0.75" bottom="0.75" header="0.3" footer="0.3"/>
      <pageSetup orientation="portrait" r:id="rId10"/>
    </customSheetView>
    <customSheetView guid="{E712F22D-DF79-4936-B86B-186E637372BF}" scale="120" showGridLines="0" topLeftCell="A73">
      <selection activeCell="H78" sqref="H78:I79"/>
      <pageMargins left="0.7" right="0.7" top="0.75" bottom="0.75" header="0.3" footer="0.3"/>
      <pageSetup orientation="portrait" r:id="rId11"/>
    </customSheetView>
    <customSheetView guid="{F716839F-5448-40FC-95BC-286199FD6764}" scale="120" showGridLines="0" topLeftCell="A73">
      <selection activeCell="H78" sqref="H78:I79"/>
      <pageMargins left="0.7" right="0.7" top="0.75" bottom="0.75" header="0.3" footer="0.3"/>
      <pageSetup orientation="portrait" r:id="rId12"/>
    </customSheetView>
    <customSheetView guid="{8EBF087E-11C5-42EE-B564-FAEE72C86C17}" scale="120" showGridLines="0" topLeftCell="A105">
      <selection activeCell="B91" sqref="B91"/>
      <pageMargins left="0.7" right="0.7" top="0.75" bottom="0.75" header="0.3" footer="0.3"/>
      <pageSetup orientation="portrait" r:id="rId13"/>
    </customSheetView>
    <customSheetView guid="{6B1EB7F4-EF59-450E-A531-475C3A6E6150}" scale="120" showGridLines="0" topLeftCell="A89">
      <selection activeCell="H83" sqref="H83"/>
      <pageMargins left="0.7" right="0.7" top="0.75" bottom="0.75" header="0.3" footer="0.3"/>
      <pageSetup orientation="portrait" r:id="rId14"/>
    </customSheetView>
    <customSheetView guid="{8F332A92-7271-4FEC-B085-C15AA232FE21}" scale="120" showGridLines="0" topLeftCell="A73">
      <selection activeCell="B74" sqref="B74"/>
      <pageMargins left="0.7" right="0.7" top="0.75" bottom="0.75" header="0.3" footer="0.3"/>
      <pageSetup orientation="portrait" r:id="rId15"/>
    </customSheetView>
    <customSheetView guid="{F2A17A28-A3DF-492D-BAE9-AAEF2A13397B}" scale="120" showGridLines="0" topLeftCell="A36">
      <selection activeCell="C38" sqref="C38"/>
      <pageMargins left="0.7" right="0.7" top="0.75" bottom="0.75" header="0.3" footer="0.3"/>
      <pageSetup orientation="portrait" r:id="rId16"/>
    </customSheetView>
    <customSheetView guid="{4F11E31F-E14C-416D-BB97-C8CE74658FBE}" scale="120" showGridLines="0" topLeftCell="A19">
      <selection activeCell="I21" sqref="I21"/>
      <pageMargins left="0.7" right="0.7" top="0.75" bottom="0.75" header="0.3" footer="0.3"/>
      <pageSetup orientation="portrait" r:id="rId17"/>
    </customSheetView>
    <customSheetView guid="{C090DFAD-A23A-4678-87F2-095D84EBDDE8}" scale="120" showGridLines="0" topLeftCell="A3">
      <selection activeCell="A2" sqref="A2"/>
      <pageMargins left="0.7" right="0.7" top="0.75" bottom="0.75" header="0.3" footer="0.3"/>
      <pageSetup orientation="portrait" r:id="rId18"/>
    </customSheetView>
    <customSheetView guid="{A5292A6B-6F92-4AB3-B051-EF87F39FC489}" scale="120" showGridLines="0" topLeftCell="A73">
      <selection activeCell="H78" sqref="H78:I79"/>
      <pageMargins left="0.7" right="0.7" top="0.75" bottom="0.75" header="0.3" footer="0.3"/>
      <pageSetup orientation="portrait" r:id="rId19"/>
    </customSheetView>
    <customSheetView guid="{6194C141-D0A1-4D58-BA55-90A184525AC3}" scale="120" showGridLines="0" topLeftCell="A73">
      <selection activeCell="H78" sqref="H78:I79"/>
      <pageMargins left="0.7" right="0.7" top="0.75" bottom="0.75" header="0.3" footer="0.3"/>
      <pageSetup orientation="portrait" r:id="rId20"/>
    </customSheetView>
    <customSheetView guid="{7A7FC9A5-F2B5-4894-82BC-4528575F10D4}" scale="120" showGridLines="0" topLeftCell="A73">
      <selection activeCell="H78" sqref="H78:I79"/>
      <pageMargins left="0.7" right="0.7" top="0.75" bottom="0.75" header="0.3" footer="0.3"/>
      <pageSetup orientation="portrait" r:id="rId21"/>
    </customSheetView>
    <customSheetView guid="{EBA5E9C4-A2DB-4DF0-BF75-1243E968318E}" scale="120" showGridLines="0" topLeftCell="A73">
      <selection activeCell="H78" sqref="H78:I79"/>
      <pageMargins left="0.7" right="0.7" top="0.75" bottom="0.75" header="0.3" footer="0.3"/>
      <pageSetup orientation="portrait" r:id="rId22"/>
    </customSheetView>
    <customSheetView guid="{C7330417-67A9-44CF-917F-5F5E2F191AD4}" scale="120" showGridLines="0" topLeftCell="A73">
      <selection activeCell="H78" sqref="H78:I79"/>
      <pageMargins left="0.7" right="0.7" top="0.75" bottom="0.75" header="0.3" footer="0.3"/>
      <pageSetup orientation="portrait" r:id="rId23"/>
    </customSheetView>
    <customSheetView guid="{47C01131-7443-4080-A2BB-6B6AA35C6913}" scale="120" showGridLines="0" topLeftCell="A73">
      <selection activeCell="H78" sqref="H78:I79"/>
      <pageMargins left="0.7" right="0.7" top="0.75" bottom="0.75" header="0.3" footer="0.3"/>
      <pageSetup orientation="portrait" r:id="rId24"/>
    </customSheetView>
    <customSheetView guid="{19DA6E7F-8950-4769-9BBE-2798EFA465A3}" scale="120" showGridLines="0" topLeftCell="A73">
      <selection activeCell="H78" sqref="H78:I79"/>
      <pageMargins left="0.7" right="0.7" top="0.75" bottom="0.75" header="0.3" footer="0.3"/>
      <pageSetup orientation="portrait" r:id="rId25"/>
    </customSheetView>
    <customSheetView guid="{F3CB97AD-592C-4B6E-8AE3-1CD47479060C}" scale="120" showGridLines="0" topLeftCell="A73">
      <selection activeCell="H78" sqref="H78:I79"/>
      <pageMargins left="0.7" right="0.7" top="0.75" bottom="0.75" header="0.3" footer="0.3"/>
      <pageSetup orientation="portrait" r:id="rId26"/>
    </customSheetView>
    <customSheetView guid="{422703F6-63C4-435C-AFE7-1030286678F6}" scale="120" showGridLines="0" topLeftCell="A73">
      <selection activeCell="H78" sqref="H78:I79"/>
      <pageMargins left="0.7" right="0.7" top="0.75" bottom="0.75" header="0.3" footer="0.3"/>
      <pageSetup orientation="portrait" r:id="rId27"/>
    </customSheetView>
    <customSheetView guid="{02D27969-4CD1-473E-A0E8-856AB0664DE8}" scale="120" showGridLines="0" topLeftCell="A73">
      <selection activeCell="H78" sqref="H78:I79"/>
      <pageMargins left="0.7" right="0.7" top="0.75" bottom="0.75" header="0.3" footer="0.3"/>
      <pageSetup orientation="portrait" r:id="rId28"/>
    </customSheetView>
    <customSheetView guid="{1920E7A3-1C9F-4320-81BB-D11544051025}" scale="120" showGridLines="0" topLeftCell="A73">
      <selection activeCell="H78" sqref="H78:I79"/>
      <pageMargins left="0.7" right="0.7" top="0.75" bottom="0.75" header="0.3" footer="0.3"/>
      <pageSetup orientation="portrait" r:id="rId29"/>
    </customSheetView>
    <customSheetView guid="{EC7537C6-1678-41C1-B788-EF4AFFECF769}" scale="120" showGridLines="0" topLeftCell="A73">
      <selection activeCell="H78" sqref="H78:I79"/>
      <pageMargins left="0.7" right="0.7" top="0.75" bottom="0.75" header="0.3" footer="0.3"/>
      <pageSetup orientation="portrait" r:id="rId30"/>
    </customSheetView>
    <customSheetView guid="{E4FF7DB9-14DF-49DB-9F59-1898DDED4DCE}" scale="120" showGridLines="0" topLeftCell="A73">
      <selection activeCell="H78" sqref="H78:I79"/>
      <pageMargins left="0.7" right="0.7" top="0.75" bottom="0.75" header="0.3" footer="0.3"/>
      <pageSetup orientation="portrait" r:id="rId31"/>
    </customSheetView>
    <customSheetView guid="{9AFCAA87-4888-4976-A7C9-C06A34CB6C97}" scale="120" showGridLines="0" topLeftCell="A73">
      <selection activeCell="H78" sqref="H78:I79"/>
      <pageMargins left="0.7" right="0.7" top="0.75" bottom="0.75" header="0.3" footer="0.3"/>
      <pageSetup orientation="portrait" r:id="rId32"/>
    </customSheetView>
    <customSheetView guid="{15D7A002-B247-4A6B-A16B-61BDD9B0066A}" scale="120" showGridLines="0" topLeftCell="A73">
      <selection activeCell="H78" sqref="H78:I79"/>
      <pageMargins left="0.7" right="0.7" top="0.75" bottom="0.75" header="0.3" footer="0.3"/>
      <pageSetup orientation="portrait" r:id="rId33"/>
    </customSheetView>
    <customSheetView guid="{F789A6E6-3D06-4D93-BF02-46FA1A2548B2}" scale="120" showGridLines="0" topLeftCell="A73">
      <selection activeCell="H78" sqref="H78:I79"/>
      <pageMargins left="0.7" right="0.7" top="0.75" bottom="0.75" header="0.3" footer="0.3"/>
      <pageSetup orientation="portrait" r:id="rId34"/>
    </customSheetView>
    <customSheetView guid="{629A478C-29B1-4F25-A016-63CE32A1627F}" scale="120" showGridLines="0" topLeftCell="A73">
      <selection activeCell="H78" sqref="H78:I79"/>
      <pageMargins left="0.7" right="0.7" top="0.75" bottom="0.75" header="0.3" footer="0.3"/>
      <pageSetup orientation="portrait" r:id="rId35"/>
    </customSheetView>
    <customSheetView guid="{51BA8A3D-4711-49ED-89E2-EBC09DF2AEDC}" scale="120" showGridLines="0" topLeftCell="A73">
      <selection activeCell="H78" sqref="H78:I79"/>
      <pageMargins left="0.7" right="0.7" top="0.75" bottom="0.75" header="0.3" footer="0.3"/>
      <pageSetup orientation="portrait" r:id="rId36"/>
    </customSheetView>
    <customSheetView guid="{25A4A7C0-9593-456C-861C-76D101D3FE93}" scale="120" showGridLines="0" topLeftCell="A73">
      <selection activeCell="H78" sqref="H78:I79"/>
      <pageMargins left="0.7" right="0.7" top="0.75" bottom="0.75" header="0.3" footer="0.3"/>
      <pageSetup orientation="portrait" r:id="rId37"/>
    </customSheetView>
    <customSheetView guid="{95D39BA8-2B16-4954-ABAC-09AD33A86339}" scale="120" showGridLines="0" topLeftCell="A73">
      <selection activeCell="H78" sqref="H78:I79"/>
      <pageMargins left="0.7" right="0.7" top="0.75" bottom="0.75" header="0.3" footer="0.3"/>
      <pageSetup orientation="portrait" r:id="rId38"/>
    </customSheetView>
    <customSheetView guid="{C65059E8-30E8-488B-A0E9-1B7961920C81}" scale="120" showGridLines="0" topLeftCell="A73">
      <selection activeCell="H78" sqref="H78:I79"/>
      <pageMargins left="0.7" right="0.7" top="0.75" bottom="0.75" header="0.3" footer="0.3"/>
      <pageSetup orientation="portrait" r:id="rId39"/>
    </customSheetView>
    <customSheetView guid="{644A6A80-0D34-48F6-A071-17016DCD2D6E}" scale="120" showGridLines="0" topLeftCell="A73">
      <selection activeCell="H78" sqref="H78:I79"/>
      <pageMargins left="0.7" right="0.7" top="0.75" bottom="0.75" header="0.3" footer="0.3"/>
      <pageSetup orientation="portrait" r:id="rId40"/>
    </customSheetView>
    <customSheetView guid="{CC562453-1E6B-4010-9E1B-775397A26EFA}" scale="120" showGridLines="0" topLeftCell="A73">
      <selection activeCell="H78" sqref="H78:I79"/>
      <pageMargins left="0.7" right="0.7" top="0.75" bottom="0.75" header="0.3" footer="0.3"/>
      <pageSetup orientation="portrait" r:id="rId41"/>
    </customSheetView>
    <customSheetView guid="{E1A67331-473F-4161-806C-BE35870C93B5}" scale="120" showGridLines="0" topLeftCell="A73">
      <selection activeCell="H78" sqref="H78:I79"/>
      <pageMargins left="0.7" right="0.7" top="0.75" bottom="0.75" header="0.3" footer="0.3"/>
      <pageSetup orientation="portrait" r:id="rId42"/>
    </customSheetView>
    <customSheetView guid="{BCAB4838-A37A-4BCF-A9C9-CC50C95F58C7}" scale="120" showGridLines="0" topLeftCell="A73">
      <selection activeCell="H78" sqref="H78:I79"/>
      <pageMargins left="0.7" right="0.7" top="0.75" bottom="0.75" header="0.3" footer="0.3"/>
      <pageSetup orientation="portrait" r:id="rId43"/>
    </customSheetView>
    <customSheetView guid="{F518ECB9-5D92-41E0-BFD2-C5175A02444D}" scale="120" showGridLines="0" topLeftCell="A73">
      <selection activeCell="H78" sqref="H78:I79"/>
      <pageMargins left="0.7" right="0.7" top="0.75" bottom="0.75" header="0.3" footer="0.3"/>
      <pageSetup orientation="portrait" r:id="rId44"/>
    </customSheetView>
    <customSheetView guid="{FEB5A49F-F7F7-412A-BE72-F90F7A4799C8}" scale="120" showGridLines="0" topLeftCell="A73">
      <selection activeCell="H78" sqref="H78:I79"/>
      <pageMargins left="0.7" right="0.7" top="0.75" bottom="0.75" header="0.3" footer="0.3"/>
      <pageSetup orientation="portrait" r:id="rId45"/>
    </customSheetView>
    <customSheetView guid="{F9A03991-7A83-41AE-B603-3D22265CDA22}" scale="120" showGridLines="0" topLeftCell="A73">
      <selection activeCell="H78" sqref="H78:I79"/>
      <pageMargins left="0.7" right="0.7" top="0.75" bottom="0.75" header="0.3" footer="0.3"/>
      <pageSetup orientation="portrait" r:id="rId46"/>
    </customSheetView>
    <customSheetView guid="{8A25BF65-C908-4B2F-9805-3CD39BD4330E}" scale="120" showGridLines="0" topLeftCell="A73">
      <selection activeCell="H78" sqref="H78:I79"/>
      <pageMargins left="0.7" right="0.7" top="0.75" bottom="0.75" header="0.3" footer="0.3"/>
      <pageSetup orientation="portrait" r:id="rId47"/>
    </customSheetView>
    <customSheetView guid="{5C8F4C13-387F-42D2-8CB5-92C4886D7919}" scale="120" showGridLines="0" topLeftCell="A73">
      <selection activeCell="H78" sqref="H78:I79"/>
      <pageMargins left="0.7" right="0.7" top="0.75" bottom="0.75" header="0.3" footer="0.3"/>
      <pageSetup orientation="portrait" r:id="rId48"/>
    </customSheetView>
    <customSheetView guid="{395DC3D6-3299-4A43-88E2-62703FCC0349}" scale="120" showGridLines="0" topLeftCell="A73">
      <selection activeCell="H78" sqref="H78:I79"/>
      <pageMargins left="0.7" right="0.7" top="0.75" bottom="0.75" header="0.3" footer="0.3"/>
      <pageSetup orientation="portrait" r:id="rId49"/>
    </customSheetView>
    <customSheetView guid="{FC8D231F-57F9-45EE-9DEF-D7ED111600EB}" scale="120" showGridLines="0" topLeftCell="A73">
      <selection activeCell="H78" sqref="H78:I79"/>
      <pageMargins left="0.7" right="0.7" top="0.75" bottom="0.75" header="0.3" footer="0.3"/>
      <pageSetup orientation="portrait" r:id="rId50"/>
    </customSheetView>
    <customSheetView guid="{7A9AB605-DB82-470C-B86B-95E2AB3523F6}" scale="120" showGridLines="0" topLeftCell="A73">
      <selection activeCell="H78" sqref="H78:I79"/>
      <pageMargins left="0.7" right="0.7" top="0.75" bottom="0.75" header="0.3" footer="0.3"/>
      <pageSetup orientation="portrait" r:id="rId51"/>
    </customSheetView>
    <customSheetView guid="{0125BE01-BBC8-4E5A-9A9A-3D1257916B8C}" scale="120" showGridLines="0" topLeftCell="A73">
      <selection activeCell="H78" sqref="H78:I79"/>
      <pageMargins left="0.7" right="0.7" top="0.75" bottom="0.75" header="0.3" footer="0.3"/>
      <pageSetup orientation="portrait" r:id="rId52"/>
    </customSheetView>
    <customSheetView guid="{8BEA0E04-8B9A-4A2D-9B80-4E7685E22D5E}" scale="120" showGridLines="0" topLeftCell="A73">
      <selection activeCell="H78" sqref="H78:I79"/>
      <pageMargins left="0.7" right="0.7" top="0.75" bottom="0.75" header="0.3" footer="0.3"/>
      <pageSetup orientation="portrait" r:id="rId53"/>
    </customSheetView>
    <customSheetView guid="{EE4A95A5-BF42-4BAA-B9EB-84A9230A28F9}" scale="120" showGridLines="0" topLeftCell="A73">
      <selection activeCell="H78" sqref="H78:I79"/>
      <pageMargins left="0.7" right="0.7" top="0.75" bottom="0.75" header="0.3" footer="0.3"/>
      <pageSetup orientation="portrait" r:id="rId54"/>
    </customSheetView>
    <customSheetView guid="{2032DE14-E33D-44B5-9022-A2B48F059704}" scale="120" showGridLines="0" topLeftCell="A73">
      <selection activeCell="H78" sqref="H78:I79"/>
      <pageMargins left="0.7" right="0.7" top="0.75" bottom="0.75" header="0.3" footer="0.3"/>
      <pageSetup orientation="portrait" r:id="rId55"/>
    </customSheetView>
    <customSheetView guid="{DF16608F-40E8-490E-B08D-ED6EEAB8B9EC}" scale="120" showGridLines="0" topLeftCell="A73">
      <selection activeCell="H78" sqref="H78:I79"/>
      <pageMargins left="0.7" right="0.7" top="0.75" bottom="0.75" header="0.3" footer="0.3"/>
      <pageSetup orientation="portrait" r:id="rId56"/>
    </customSheetView>
    <customSheetView guid="{2CEDB1FB-2942-4B51-BF30-285DCDB05292}" scale="120" showGridLines="0" topLeftCell="A73">
      <selection activeCell="H78" sqref="H78:I79"/>
      <pageMargins left="0.7" right="0.7" top="0.75" bottom="0.75" header="0.3" footer="0.3"/>
      <pageSetup orientation="portrait" r:id="rId57"/>
    </customSheetView>
    <customSheetView guid="{E4375DB4-4B74-46BC-A9F2-C5C5055B366F}" scale="120" showGridLines="0" topLeftCell="A73">
      <selection activeCell="H78" sqref="H78:I79"/>
      <pageMargins left="0.7" right="0.7" top="0.75" bottom="0.75" header="0.3" footer="0.3"/>
      <pageSetup orientation="portrait" r:id="rId58"/>
    </customSheetView>
    <customSheetView guid="{58306194-C83B-413E-AC5F-AD717216CB21}" scale="120" showGridLines="0" topLeftCell="A73">
      <selection activeCell="H78" sqref="H78:I79"/>
      <pageMargins left="0.7" right="0.7" top="0.75" bottom="0.75" header="0.3" footer="0.3"/>
      <pageSetup orientation="portrait" r:id="rId59"/>
    </customSheetView>
    <customSheetView guid="{81DEBAD0-6E86-4DFB-8642-C52E8C976BDA}" scale="120" showGridLines="0" topLeftCell="A73">
      <selection activeCell="H78" sqref="H78:I79"/>
      <pageMargins left="0.7" right="0.7" top="0.75" bottom="0.75" header="0.3" footer="0.3"/>
      <pageSetup orientation="portrait" r:id="rId60"/>
    </customSheetView>
    <customSheetView guid="{C575B46A-1D4C-489C-97AE-5DAB6560E171}" scale="120" showGridLines="0" topLeftCell="A73">
      <selection activeCell="H78" sqref="H78:I79"/>
      <pageMargins left="0.7" right="0.7" top="0.75" bottom="0.75" header="0.3" footer="0.3"/>
      <pageSetup orientation="portrait" r:id="rId61"/>
    </customSheetView>
    <customSheetView guid="{C908A6D6-4C77-416B-BC46-6F501B5F842F}" scale="120" showGridLines="0" topLeftCell="A73">
      <selection activeCell="H78" sqref="H78:I79"/>
      <pageMargins left="0.7" right="0.7" top="0.75" bottom="0.75" header="0.3" footer="0.3"/>
      <pageSetup orientation="portrait" r:id="rId62"/>
    </customSheetView>
    <customSheetView guid="{CE50DC7E-3038-4337-BAC8-5B16EE1D95B0}" scale="120" showGridLines="0" topLeftCell="A73">
      <selection activeCell="H78" sqref="H78:I79"/>
      <pageMargins left="0.7" right="0.7" top="0.75" bottom="0.75" header="0.3" footer="0.3"/>
      <pageSetup orientation="portrait" r:id="rId63"/>
    </customSheetView>
    <customSheetView guid="{3511E245-32F9-4CFF-8540-6B03C6FAE218}" scale="120" showGridLines="0" topLeftCell="A73">
      <selection activeCell="H78" sqref="H78:I79"/>
      <pageMargins left="0.7" right="0.7" top="0.75" bottom="0.75" header="0.3" footer="0.3"/>
      <pageSetup orientation="portrait" r:id="rId64"/>
    </customSheetView>
    <customSheetView guid="{DFE0B66A-2DCB-4802-A91B-F836707AD43C}" scale="120" showGridLines="0" topLeftCell="A73">
      <selection activeCell="H78" sqref="H78:I79"/>
      <pageMargins left="0.7" right="0.7" top="0.75" bottom="0.75" header="0.3" footer="0.3"/>
      <pageSetup orientation="portrait" r:id="rId65"/>
    </customSheetView>
    <customSheetView guid="{0458C18D-9EF5-4516-9145-CA54D8EB1865}" scale="120" showGridLines="0" topLeftCell="A73">
      <selection activeCell="H78" sqref="H78:I79"/>
      <pageMargins left="0.7" right="0.7" top="0.75" bottom="0.75" header="0.3" footer="0.3"/>
      <pageSetup orientation="portrait" r:id="rId66"/>
    </customSheetView>
    <customSheetView guid="{0E02FCC8-6440-4859-9F6B-C77617EF5D89}" scale="120" showGridLines="0" topLeftCell="A73">
      <selection activeCell="H78" sqref="H78:I79"/>
      <pageMargins left="0.7" right="0.7" top="0.75" bottom="0.75" header="0.3" footer="0.3"/>
      <pageSetup orientation="portrait" r:id="rId67"/>
    </customSheetView>
    <customSheetView guid="{EE811897-5BF5-4321-9879-5B7EDF90A350}" scale="120" showGridLines="0" topLeftCell="A73">
      <selection activeCell="H78" sqref="H78:I79"/>
      <pageMargins left="0.7" right="0.7" top="0.75" bottom="0.75" header="0.3" footer="0.3"/>
      <pageSetup orientation="portrait" r:id="rId68"/>
    </customSheetView>
    <customSheetView guid="{FF03E81F-A9A8-4546-A9C3-77A6EEA02ED9}" scale="120" showGridLines="0" topLeftCell="A73">
      <selection activeCell="H78" sqref="H78:I79"/>
      <pageMargins left="0.7" right="0.7" top="0.75" bottom="0.75" header="0.3" footer="0.3"/>
      <pageSetup orientation="portrait" r:id="rId69"/>
    </customSheetView>
    <customSheetView guid="{D9413B31-FDB2-4AE8-80A8-7F09954E703C}" scale="120" showGridLines="0" topLeftCell="A73">
      <selection activeCell="H78" sqref="H78:I79"/>
      <pageMargins left="0.7" right="0.7" top="0.75" bottom="0.75" header="0.3" footer="0.3"/>
      <pageSetup orientation="portrait" r:id="rId70"/>
    </customSheetView>
    <customSheetView guid="{B19B24CB-B859-49E3-8AE0-2D671510EE4F}" scale="120" showGridLines="0" topLeftCell="A73">
      <selection activeCell="H78" sqref="H78:I79"/>
      <pageMargins left="0.7" right="0.7" top="0.75" bottom="0.75" header="0.3" footer="0.3"/>
      <pageSetup orientation="portrait" r:id="rId71"/>
    </customSheetView>
    <customSheetView guid="{0BF42E77-7016-4BE4-A5AB-A49974630D91}" scale="120" showGridLines="0" topLeftCell="A73">
      <selection activeCell="H78" sqref="H78:I79"/>
      <pageMargins left="0.7" right="0.7" top="0.75" bottom="0.75" header="0.3" footer="0.3"/>
      <pageSetup orientation="portrait" r:id="rId72"/>
    </customSheetView>
    <customSheetView guid="{C453A932-6110-4A84-A9C2-26C809391387}" scale="120" showGridLines="0" topLeftCell="A73">
      <selection activeCell="H78" sqref="H78:I79"/>
      <pageMargins left="0.7" right="0.7" top="0.75" bottom="0.75" header="0.3" footer="0.3"/>
      <pageSetup orientation="portrait" r:id="rId73"/>
    </customSheetView>
    <customSheetView guid="{08E755F8-82E9-4D95-862B-81F55FBDDDF6}" scale="120" showGridLines="0" topLeftCell="A73">
      <selection activeCell="H78" sqref="H78:I79"/>
      <pageMargins left="0.7" right="0.7" top="0.75" bottom="0.75" header="0.3" footer="0.3"/>
      <pageSetup orientation="portrait" r:id="rId74"/>
    </customSheetView>
    <customSheetView guid="{86D36E03-787A-41EB-85FF-8BB8A222055B}" scale="120" showGridLines="0" topLeftCell="A73">
      <selection activeCell="H78" sqref="H78:I79"/>
      <pageMargins left="0.7" right="0.7" top="0.75" bottom="0.75" header="0.3" footer="0.3"/>
      <pageSetup orientation="portrait" r:id="rId75"/>
    </customSheetView>
  </customSheetViews>
  <mergeCells count="3">
    <mergeCell ref="H7:J8"/>
    <mergeCell ref="H23:J24"/>
    <mergeCell ref="H46:J47"/>
  </mergeCells>
  <pageMargins left="0.7" right="0.7" top="0.75" bottom="0.75" header="0.3" footer="0.3"/>
  <pageSetup orientation="portrait" r:id="rId76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1EE6-8E61-44B0-B129-19D99C36D930}">
  <sheetPr>
    <pageSetUpPr autoPageBreaks="0"/>
  </sheetPr>
  <dimension ref="B1:M54"/>
  <sheetViews>
    <sheetView showGridLines="0" zoomScale="120" zoomScaleNormal="110" workbookViewId="0">
      <selection activeCell="F4" sqref="F4"/>
    </sheetView>
  </sheetViews>
  <sheetFormatPr defaultColWidth="9.1328125" defaultRowHeight="18" x14ac:dyDescent="0.55000000000000004"/>
  <cols>
    <col min="1" max="1" width="8.73046875" style="7" customWidth="1"/>
    <col min="2" max="2" width="17.1328125" style="7" bestFit="1" customWidth="1"/>
    <col min="3" max="3" width="8.265625" style="7" bestFit="1" customWidth="1"/>
    <col min="4" max="4" width="13.86328125" style="7" bestFit="1" customWidth="1"/>
    <col min="5" max="5" width="22.1328125" style="7" bestFit="1" customWidth="1"/>
    <col min="6" max="6" width="17.265625" style="7" bestFit="1" customWidth="1"/>
    <col min="7" max="7" width="9.1328125" style="7"/>
    <col min="8" max="8" width="14" style="7" customWidth="1"/>
    <col min="9" max="9" width="15.265625" style="7" customWidth="1"/>
    <col min="10" max="10" width="18.86328125" style="7" customWidth="1"/>
    <col min="11" max="16384" width="9.1328125" style="7"/>
  </cols>
  <sheetData>
    <row r="1" spans="2:13" x14ac:dyDescent="0.55000000000000004">
      <c r="F1" s="9" t="s">
        <v>45</v>
      </c>
      <c r="G1" s="12"/>
    </row>
    <row r="3" spans="2:13" x14ac:dyDescent="0.55000000000000004">
      <c r="B3" s="9" t="s">
        <v>32</v>
      </c>
      <c r="C3" s="9" t="s">
        <v>33</v>
      </c>
      <c r="D3" s="9" t="s">
        <v>39</v>
      </c>
      <c r="E3" s="9" t="s">
        <v>36</v>
      </c>
      <c r="F3" s="9" t="s">
        <v>50</v>
      </c>
    </row>
    <row r="4" spans="2:13" x14ac:dyDescent="0.55000000000000004">
      <c r="B4" s="8" t="s">
        <v>31</v>
      </c>
      <c r="C4" s="8">
        <v>7.85</v>
      </c>
      <c r="D4" s="8" t="s">
        <v>40</v>
      </c>
      <c r="E4" s="11">
        <v>44888.4765625</v>
      </c>
      <c r="F4" s="8"/>
    </row>
    <row r="5" spans="2:13" ht="18.75" customHeight="1" x14ac:dyDescent="0.55000000000000004">
      <c r="B5" s="8" t="s">
        <v>30</v>
      </c>
      <c r="C5" s="8">
        <v>3.25</v>
      </c>
      <c r="D5" s="8" t="s">
        <v>40</v>
      </c>
      <c r="E5" s="11">
        <v>45232.487638888888</v>
      </c>
      <c r="F5" s="8"/>
    </row>
    <row r="6" spans="2:13" ht="21" customHeight="1" x14ac:dyDescent="0.55000000000000004">
      <c r="B6" s="8" t="s">
        <v>29</v>
      </c>
      <c r="C6" s="8">
        <v>12.5</v>
      </c>
      <c r="D6" s="8" t="s">
        <v>40</v>
      </c>
      <c r="E6" s="11">
        <v>45253.499027777776</v>
      </c>
      <c r="F6" s="8"/>
    </row>
    <row r="7" spans="2:13" ht="18.75" customHeight="1" x14ac:dyDescent="0.55000000000000004">
      <c r="B7" s="8" t="s">
        <v>28</v>
      </c>
      <c r="C7" s="8">
        <v>6.35</v>
      </c>
      <c r="D7" s="8" t="s">
        <v>40</v>
      </c>
      <c r="E7" s="11">
        <v>44852.505381944444</v>
      </c>
      <c r="F7" s="8"/>
      <c r="H7" s="22" t="s">
        <v>44</v>
      </c>
      <c r="I7" s="22"/>
      <c r="J7" s="22"/>
      <c r="M7" s="10">
        <f>SUMIF(E4:E15,"Mar",C4:C15)</f>
        <v>0</v>
      </c>
    </row>
    <row r="8" spans="2:13" x14ac:dyDescent="0.55000000000000004">
      <c r="B8" s="8" t="s">
        <v>27</v>
      </c>
      <c r="C8" s="8">
        <v>2.5</v>
      </c>
      <c r="D8" s="8" t="s">
        <v>40</v>
      </c>
      <c r="E8" s="11">
        <v>44888.520162037035</v>
      </c>
      <c r="F8" s="8"/>
      <c r="H8" s="22"/>
      <c r="I8" s="22"/>
      <c r="J8" s="22"/>
    </row>
    <row r="9" spans="2:13" x14ac:dyDescent="0.55000000000000004">
      <c r="B9" s="8" t="s">
        <v>26</v>
      </c>
      <c r="C9" s="8">
        <v>6.5</v>
      </c>
      <c r="D9" s="8" t="s">
        <v>40</v>
      </c>
      <c r="E9" s="11">
        <v>44923.573692129627</v>
      </c>
      <c r="F9" s="8"/>
    </row>
    <row r="10" spans="2:13" x14ac:dyDescent="0.55000000000000004">
      <c r="B10" s="8" t="s">
        <v>31</v>
      </c>
      <c r="C10" s="8">
        <v>8.75</v>
      </c>
      <c r="D10" s="8" t="s">
        <v>40</v>
      </c>
      <c r="E10" s="11">
        <v>44888.593831018516</v>
      </c>
      <c r="F10" s="8"/>
    </row>
    <row r="11" spans="2:13" x14ac:dyDescent="0.55000000000000004">
      <c r="B11" s="8" t="s">
        <v>28</v>
      </c>
      <c r="C11" s="8">
        <v>4.6500000000000004</v>
      </c>
      <c r="D11" s="8" t="s">
        <v>40</v>
      </c>
      <c r="E11" s="11">
        <v>44888.656423611108</v>
      </c>
      <c r="F11" s="8"/>
    </row>
    <row r="12" spans="2:13" x14ac:dyDescent="0.55000000000000004">
      <c r="B12" s="8" t="s">
        <v>31</v>
      </c>
      <c r="C12" s="8">
        <v>12.85</v>
      </c>
      <c r="D12" s="8" t="s">
        <v>40</v>
      </c>
      <c r="E12" s="11">
        <v>44889.675300925926</v>
      </c>
      <c r="F12" s="8"/>
    </row>
    <row r="13" spans="2:13" ht="18.75" customHeight="1" x14ac:dyDescent="0.55000000000000004">
      <c r="B13" s="8" t="s">
        <v>30</v>
      </c>
      <c r="C13" s="8">
        <v>8.25</v>
      </c>
      <c r="D13" s="8" t="s">
        <v>40</v>
      </c>
      <c r="E13" s="11">
        <v>44888.686539351853</v>
      </c>
      <c r="F13" s="8"/>
    </row>
    <row r="14" spans="2:13" x14ac:dyDescent="0.55000000000000004">
      <c r="B14" s="8" t="s">
        <v>29</v>
      </c>
      <c r="C14" s="8">
        <v>13.5</v>
      </c>
      <c r="D14" s="8" t="s">
        <v>40</v>
      </c>
      <c r="E14" s="11">
        <v>44888.70815972222</v>
      </c>
      <c r="F14" s="8"/>
    </row>
    <row r="15" spans="2:13" x14ac:dyDescent="0.55000000000000004">
      <c r="B15" s="8" t="s">
        <v>28</v>
      </c>
      <c r="C15" s="8">
        <v>9.9499999999999993</v>
      </c>
      <c r="D15" s="8" t="s">
        <v>40</v>
      </c>
      <c r="E15" s="11">
        <v>44888.783391203702</v>
      </c>
      <c r="F15" s="8"/>
    </row>
    <row r="19" spans="2:13" x14ac:dyDescent="0.55000000000000004">
      <c r="B19" s="9" t="s">
        <v>32</v>
      </c>
      <c r="C19" s="9" t="s">
        <v>33</v>
      </c>
      <c r="D19" s="9" t="s">
        <v>39</v>
      </c>
      <c r="E19" s="9" t="s">
        <v>36</v>
      </c>
      <c r="F19" s="9" t="s">
        <v>49</v>
      </c>
    </row>
    <row r="20" spans="2:13" x14ac:dyDescent="0.55000000000000004">
      <c r="B20" s="8" t="s">
        <v>31</v>
      </c>
      <c r="C20" s="8">
        <v>7.85</v>
      </c>
      <c r="D20" s="8" t="s">
        <v>40</v>
      </c>
      <c r="E20" s="11">
        <v>44888.4765625</v>
      </c>
      <c r="F20" s="8"/>
    </row>
    <row r="21" spans="2:13" x14ac:dyDescent="0.55000000000000004">
      <c r="B21" s="8" t="s">
        <v>30</v>
      </c>
      <c r="C21" s="8">
        <v>3.25</v>
      </c>
      <c r="D21" s="8" t="s">
        <v>40</v>
      </c>
      <c r="E21" s="11">
        <v>45232.487638888888</v>
      </c>
      <c r="F21" s="8"/>
    </row>
    <row r="22" spans="2:13" x14ac:dyDescent="0.55000000000000004">
      <c r="B22" s="8" t="s">
        <v>29</v>
      </c>
      <c r="C22" s="8">
        <v>12.5</v>
      </c>
      <c r="D22" s="8" t="s">
        <v>40</v>
      </c>
      <c r="E22" s="11">
        <v>45253.499027777776</v>
      </c>
      <c r="F22" s="8"/>
    </row>
    <row r="23" spans="2:13" ht="18.75" customHeight="1" x14ac:dyDescent="0.55000000000000004">
      <c r="B23" s="8" t="s">
        <v>28</v>
      </c>
      <c r="C23" s="8">
        <v>6.35</v>
      </c>
      <c r="D23" s="8" t="s">
        <v>40</v>
      </c>
      <c r="E23" s="11">
        <v>44852.505381944444</v>
      </c>
      <c r="F23" s="8"/>
      <c r="H23" s="22" t="s">
        <v>46</v>
      </c>
      <c r="I23" s="22"/>
      <c r="J23" s="22"/>
      <c r="M23" s="10">
        <f>SUMIF(D20:D31,"Amazon",C20:C31)</f>
        <v>0</v>
      </c>
    </row>
    <row r="24" spans="2:13" x14ac:dyDescent="0.55000000000000004">
      <c r="B24" s="8" t="s">
        <v>27</v>
      </c>
      <c r="C24" s="8">
        <v>2.5</v>
      </c>
      <c r="D24" s="8" t="s">
        <v>40</v>
      </c>
      <c r="E24" s="11">
        <v>44888.520162037035</v>
      </c>
      <c r="F24" s="8"/>
      <c r="H24" s="22"/>
      <c r="I24" s="22"/>
      <c r="J24" s="22"/>
    </row>
    <row r="25" spans="2:13" x14ac:dyDescent="0.55000000000000004">
      <c r="B25" s="8" t="s">
        <v>26</v>
      </c>
      <c r="C25" s="8">
        <v>6.5</v>
      </c>
      <c r="D25" s="8" t="s">
        <v>40</v>
      </c>
      <c r="E25" s="11">
        <v>44923.573692129627</v>
      </c>
      <c r="F25" s="8"/>
    </row>
    <row r="26" spans="2:13" x14ac:dyDescent="0.55000000000000004">
      <c r="B26" s="8" t="s">
        <v>31</v>
      </c>
      <c r="C26" s="8">
        <v>8.75</v>
      </c>
      <c r="D26" s="8" t="s">
        <v>40</v>
      </c>
      <c r="E26" s="11">
        <v>44888.593831018516</v>
      </c>
      <c r="F26" s="8"/>
    </row>
    <row r="27" spans="2:13" x14ac:dyDescent="0.55000000000000004">
      <c r="B27" s="8" t="s">
        <v>28</v>
      </c>
      <c r="C27" s="8">
        <v>4.6500000000000004</v>
      </c>
      <c r="D27" s="8" t="s">
        <v>40</v>
      </c>
      <c r="E27" s="11">
        <v>44888.656423611108</v>
      </c>
      <c r="F27" s="8"/>
    </row>
    <row r="28" spans="2:13" x14ac:dyDescent="0.55000000000000004">
      <c r="B28" s="8" t="s">
        <v>31</v>
      </c>
      <c r="C28" s="8">
        <v>12.85</v>
      </c>
      <c r="D28" s="8" t="s">
        <v>40</v>
      </c>
      <c r="E28" s="11">
        <v>44889.675300925926</v>
      </c>
      <c r="F28" s="8"/>
    </row>
    <row r="29" spans="2:13" x14ac:dyDescent="0.55000000000000004">
      <c r="B29" s="8" t="s">
        <v>30</v>
      </c>
      <c r="C29" s="8">
        <v>8.25</v>
      </c>
      <c r="D29" s="8" t="s">
        <v>40</v>
      </c>
      <c r="E29" s="11">
        <v>44888.686539351853</v>
      </c>
      <c r="F29" s="8"/>
    </row>
    <row r="30" spans="2:13" x14ac:dyDescent="0.55000000000000004">
      <c r="B30" s="8" t="s">
        <v>29</v>
      </c>
      <c r="C30" s="8">
        <v>13.5</v>
      </c>
      <c r="D30" s="8" t="s">
        <v>40</v>
      </c>
      <c r="E30" s="11">
        <v>44888.70815972222</v>
      </c>
      <c r="F30" s="8"/>
    </row>
    <row r="31" spans="2:13" x14ac:dyDescent="0.55000000000000004">
      <c r="B31" s="8" t="s">
        <v>28</v>
      </c>
      <c r="C31" s="8">
        <v>9.9499999999999993</v>
      </c>
      <c r="D31" s="8" t="s">
        <v>40</v>
      </c>
      <c r="E31" s="11">
        <v>44888.783391203702</v>
      </c>
      <c r="F31" s="8"/>
    </row>
    <row r="42" spans="2:13" x14ac:dyDescent="0.55000000000000004">
      <c r="B42" s="9" t="s">
        <v>32</v>
      </c>
      <c r="C42" s="9" t="s">
        <v>33</v>
      </c>
      <c r="D42" s="9" t="s">
        <v>39</v>
      </c>
      <c r="E42" s="9" t="s">
        <v>36</v>
      </c>
      <c r="F42" s="9" t="s">
        <v>48</v>
      </c>
    </row>
    <row r="43" spans="2:13" x14ac:dyDescent="0.55000000000000004">
      <c r="B43" s="8" t="s">
        <v>31</v>
      </c>
      <c r="C43" s="8">
        <v>7.85</v>
      </c>
      <c r="D43" s="8" t="s">
        <v>40</v>
      </c>
      <c r="E43" s="11">
        <v>44888.4765625</v>
      </c>
      <c r="F43" s="8"/>
    </row>
    <row r="44" spans="2:13" x14ac:dyDescent="0.55000000000000004">
      <c r="B44" s="8" t="s">
        <v>30</v>
      </c>
      <c r="C44" s="8">
        <v>3.25</v>
      </c>
      <c r="D44" s="8" t="s">
        <v>40</v>
      </c>
      <c r="E44" s="11">
        <v>45232.487638888888</v>
      </c>
      <c r="F44" s="8"/>
    </row>
    <row r="45" spans="2:13" x14ac:dyDescent="0.55000000000000004">
      <c r="B45" s="8" t="s">
        <v>29</v>
      </c>
      <c r="C45" s="8">
        <v>12.5</v>
      </c>
      <c r="D45" s="8" t="s">
        <v>40</v>
      </c>
      <c r="E45" s="11">
        <v>45253.499027777776</v>
      </c>
      <c r="F45" s="8"/>
    </row>
    <row r="46" spans="2:13" ht="18.75" customHeight="1" x14ac:dyDescent="0.55000000000000004">
      <c r="B46" s="8" t="s">
        <v>28</v>
      </c>
      <c r="C46" s="8">
        <v>6.35</v>
      </c>
      <c r="D46" s="8" t="s">
        <v>40</v>
      </c>
      <c r="E46" s="11">
        <v>44852.505381944444</v>
      </c>
      <c r="F46" s="8"/>
      <c r="H46" s="22" t="s">
        <v>47</v>
      </c>
      <c r="I46" s="22"/>
      <c r="J46" s="22"/>
      <c r="M46" s="10">
        <f>SUMIF(D43:D54,"Amazon",C43:C54)</f>
        <v>0</v>
      </c>
    </row>
    <row r="47" spans="2:13" x14ac:dyDescent="0.55000000000000004">
      <c r="B47" s="8" t="s">
        <v>27</v>
      </c>
      <c r="C47" s="8">
        <v>2.5</v>
      </c>
      <c r="D47" s="8" t="s">
        <v>40</v>
      </c>
      <c r="E47" s="11">
        <v>44888.520162037035</v>
      </c>
      <c r="F47" s="8"/>
      <c r="H47" s="22"/>
      <c r="I47" s="22"/>
      <c r="J47" s="22"/>
    </row>
    <row r="48" spans="2:13" x14ac:dyDescent="0.55000000000000004">
      <c r="B48" s="8" t="s">
        <v>26</v>
      </c>
      <c r="C48" s="8">
        <v>6.5</v>
      </c>
      <c r="D48" s="8" t="s">
        <v>40</v>
      </c>
      <c r="E48" s="11">
        <v>44923.573692129627</v>
      </c>
      <c r="F48" s="8"/>
    </row>
    <row r="49" spans="2:6" x14ac:dyDescent="0.55000000000000004">
      <c r="B49" s="8" t="s">
        <v>31</v>
      </c>
      <c r="C49" s="8">
        <v>8.75</v>
      </c>
      <c r="D49" s="8" t="s">
        <v>40</v>
      </c>
      <c r="E49" s="11">
        <v>44888.593831018516</v>
      </c>
      <c r="F49" s="8"/>
    </row>
    <row r="50" spans="2:6" x14ac:dyDescent="0.55000000000000004">
      <c r="B50" s="8" t="s">
        <v>28</v>
      </c>
      <c r="C50" s="8">
        <v>4.6500000000000004</v>
      </c>
      <c r="D50" s="8" t="s">
        <v>40</v>
      </c>
      <c r="E50" s="11">
        <v>44888.656423611108</v>
      </c>
      <c r="F50" s="8"/>
    </row>
    <row r="51" spans="2:6" x14ac:dyDescent="0.55000000000000004">
      <c r="B51" s="8" t="s">
        <v>31</v>
      </c>
      <c r="C51" s="8">
        <v>12.85</v>
      </c>
      <c r="D51" s="8" t="s">
        <v>40</v>
      </c>
      <c r="E51" s="11">
        <v>44889.675300925926</v>
      </c>
      <c r="F51" s="8"/>
    </row>
    <row r="52" spans="2:6" x14ac:dyDescent="0.55000000000000004">
      <c r="B52" s="8" t="s">
        <v>30</v>
      </c>
      <c r="C52" s="8">
        <v>8.25</v>
      </c>
      <c r="D52" s="8" t="s">
        <v>40</v>
      </c>
      <c r="E52" s="11">
        <v>44888.686539351853</v>
      </c>
      <c r="F52" s="8"/>
    </row>
    <row r="53" spans="2:6" x14ac:dyDescent="0.55000000000000004">
      <c r="B53" s="8" t="s">
        <v>29</v>
      </c>
      <c r="C53" s="8">
        <v>13.5</v>
      </c>
      <c r="D53" s="8" t="s">
        <v>40</v>
      </c>
      <c r="E53" s="11">
        <v>44888.70815972222</v>
      </c>
      <c r="F53" s="8"/>
    </row>
    <row r="54" spans="2:6" x14ac:dyDescent="0.55000000000000004">
      <c r="B54" s="8" t="s">
        <v>28</v>
      </c>
      <c r="C54" s="8">
        <v>9.9499999999999993</v>
      </c>
      <c r="D54" s="8" t="s">
        <v>40</v>
      </c>
      <c r="E54" s="11">
        <v>44888.783391203702</v>
      </c>
      <c r="F54" s="8"/>
    </row>
  </sheetData>
  <mergeCells count="3">
    <mergeCell ref="H7:J8"/>
    <mergeCell ref="H23:J24"/>
    <mergeCell ref="H46:J4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FBD-3054-4AFC-8F3A-C55DB03DD45B}">
  <sheetPr>
    <pageSetUpPr autoPageBreaks="0"/>
  </sheetPr>
  <dimension ref="B1:M54"/>
  <sheetViews>
    <sheetView showGridLines="0" zoomScale="120" zoomScaleNormal="110" workbookViewId="0">
      <pane ySplit="1" topLeftCell="A2" activePane="bottomLeft" state="frozen"/>
      <selection pane="bottomLeft" activeCell="H55" sqref="H55"/>
    </sheetView>
  </sheetViews>
  <sheetFormatPr defaultColWidth="9.1328125" defaultRowHeight="18" x14ac:dyDescent="0.55000000000000004"/>
  <cols>
    <col min="1" max="1" width="8.73046875" style="7" customWidth="1"/>
    <col min="2" max="2" width="17.1328125" style="7" bestFit="1" customWidth="1"/>
    <col min="3" max="3" width="8.265625" style="7" bestFit="1" customWidth="1"/>
    <col min="4" max="4" width="13.86328125" style="7" bestFit="1" customWidth="1"/>
    <col min="5" max="5" width="22.1328125" style="7" bestFit="1" customWidth="1"/>
    <col min="6" max="6" width="17.265625" style="7" bestFit="1" customWidth="1"/>
    <col min="7" max="7" width="13.3984375" style="7" bestFit="1" customWidth="1"/>
    <col min="8" max="8" width="14" style="7" customWidth="1"/>
    <col min="9" max="9" width="15.265625" style="7" customWidth="1"/>
    <col min="10" max="10" width="18.86328125" style="7" customWidth="1"/>
    <col min="11" max="16384" width="9.1328125" style="7"/>
  </cols>
  <sheetData>
    <row r="1" spans="2:13" x14ac:dyDescent="0.55000000000000004">
      <c r="F1" s="9" t="s">
        <v>37</v>
      </c>
      <c r="G1" s="13">
        <f ca="1">TODAY()</f>
        <v>46105</v>
      </c>
    </row>
    <row r="3" spans="2:13" x14ac:dyDescent="0.55000000000000004">
      <c r="B3" s="9" t="s">
        <v>32</v>
      </c>
      <c r="C3" s="9" t="s">
        <v>33</v>
      </c>
      <c r="D3" s="9" t="s">
        <v>39</v>
      </c>
      <c r="E3" s="9" t="s">
        <v>36</v>
      </c>
      <c r="F3" s="9" t="s">
        <v>52</v>
      </c>
    </row>
    <row r="4" spans="2:13" x14ac:dyDescent="0.55000000000000004">
      <c r="B4" s="8" t="s">
        <v>31</v>
      </c>
      <c r="C4" s="8">
        <v>7.85</v>
      </c>
      <c r="D4" s="8" t="s">
        <v>40</v>
      </c>
      <c r="E4" s="11">
        <v>44888.4765625</v>
      </c>
      <c r="F4" s="14"/>
    </row>
    <row r="5" spans="2:13" ht="18.75" customHeight="1" x14ac:dyDescent="0.55000000000000004">
      <c r="B5" s="8" t="s">
        <v>30</v>
      </c>
      <c r="C5" s="8">
        <v>3.25</v>
      </c>
      <c r="D5" s="8" t="s">
        <v>40</v>
      </c>
      <c r="E5" s="11">
        <v>45232.487638888888</v>
      </c>
      <c r="F5" s="8"/>
    </row>
    <row r="6" spans="2:13" ht="21" customHeight="1" x14ac:dyDescent="0.55000000000000004">
      <c r="B6" s="8" t="s">
        <v>29</v>
      </c>
      <c r="C6" s="8">
        <v>12.5</v>
      </c>
      <c r="D6" s="8" t="s">
        <v>40</v>
      </c>
      <c r="E6" s="11">
        <v>45253.499027777776</v>
      </c>
      <c r="F6" s="8"/>
    </row>
    <row r="7" spans="2:13" ht="18.75" customHeight="1" x14ac:dyDescent="0.55000000000000004">
      <c r="B7" s="8" t="s">
        <v>28</v>
      </c>
      <c r="C7" s="8">
        <v>6.35</v>
      </c>
      <c r="D7" s="8" t="s">
        <v>40</v>
      </c>
      <c r="E7" s="11">
        <v>44852.505381944444</v>
      </c>
      <c r="F7" s="8"/>
      <c r="H7" s="22" t="s">
        <v>43</v>
      </c>
      <c r="I7" s="22"/>
      <c r="J7" s="22"/>
      <c r="M7" s="10">
        <f>SUMIF(E4:E15,"Mar",C4:C15)</f>
        <v>0</v>
      </c>
    </row>
    <row r="8" spans="2:13" x14ac:dyDescent="0.55000000000000004">
      <c r="B8" s="8" t="s">
        <v>27</v>
      </c>
      <c r="C8" s="8">
        <v>2.5</v>
      </c>
      <c r="D8" s="8" t="s">
        <v>40</v>
      </c>
      <c r="E8" s="11">
        <v>44888.520162037035</v>
      </c>
      <c r="F8" s="8"/>
      <c r="H8" s="22"/>
      <c r="I8" s="22"/>
      <c r="J8" s="22"/>
    </row>
    <row r="9" spans="2:13" x14ac:dyDescent="0.55000000000000004">
      <c r="B9" s="8" t="s">
        <v>26</v>
      </c>
      <c r="C9" s="8">
        <v>6.5</v>
      </c>
      <c r="D9" s="8" t="s">
        <v>40</v>
      </c>
      <c r="E9" s="11">
        <v>44923.573692129627</v>
      </c>
      <c r="F9" s="8"/>
    </row>
    <row r="10" spans="2:13" x14ac:dyDescent="0.55000000000000004">
      <c r="B10" s="8" t="s">
        <v>31</v>
      </c>
      <c r="C10" s="8">
        <v>8.75</v>
      </c>
      <c r="D10" s="8" t="s">
        <v>40</v>
      </c>
      <c r="E10" s="11">
        <v>44888.593831018516</v>
      </c>
      <c r="F10" s="8"/>
    </row>
    <row r="11" spans="2:13" x14ac:dyDescent="0.55000000000000004">
      <c r="B11" s="8" t="s">
        <v>28</v>
      </c>
      <c r="C11" s="8">
        <v>4.6500000000000004</v>
      </c>
      <c r="D11" s="8" t="s">
        <v>40</v>
      </c>
      <c r="E11" s="11">
        <v>44888.656423611108</v>
      </c>
      <c r="F11" s="8"/>
    </row>
    <row r="12" spans="2:13" x14ac:dyDescent="0.55000000000000004">
      <c r="B12" s="8" t="s">
        <v>31</v>
      </c>
      <c r="C12" s="8">
        <v>12.85</v>
      </c>
      <c r="D12" s="8" t="s">
        <v>40</v>
      </c>
      <c r="E12" s="11">
        <v>44889.675300925926</v>
      </c>
      <c r="F12" s="8"/>
    </row>
    <row r="13" spans="2:13" ht="18.75" customHeight="1" x14ac:dyDescent="0.55000000000000004">
      <c r="B13" s="8" t="s">
        <v>30</v>
      </c>
      <c r="C13" s="8">
        <v>8.25</v>
      </c>
      <c r="D13" s="8" t="s">
        <v>40</v>
      </c>
      <c r="E13" s="11">
        <v>44888.686539351853</v>
      </c>
      <c r="F13" s="8"/>
    </row>
    <row r="14" spans="2:13" x14ac:dyDescent="0.55000000000000004">
      <c r="B14" s="8" t="s">
        <v>29</v>
      </c>
      <c r="C14" s="8">
        <v>13.5</v>
      </c>
      <c r="D14" s="8" t="s">
        <v>40</v>
      </c>
      <c r="E14" s="11">
        <v>44888.70815972222</v>
      </c>
      <c r="F14" s="8"/>
    </row>
    <row r="15" spans="2:13" x14ac:dyDescent="0.55000000000000004">
      <c r="B15" s="8" t="s">
        <v>28</v>
      </c>
      <c r="C15" s="8">
        <v>9.9499999999999993</v>
      </c>
      <c r="D15" s="8" t="s">
        <v>40</v>
      </c>
      <c r="E15" s="11">
        <v>44888.783391203702</v>
      </c>
      <c r="F15" s="8"/>
    </row>
    <row r="19" spans="2:13" x14ac:dyDescent="0.55000000000000004">
      <c r="B19" s="9" t="s">
        <v>32</v>
      </c>
      <c r="C19" s="9" t="s">
        <v>33</v>
      </c>
      <c r="D19" s="9" t="s">
        <v>39</v>
      </c>
      <c r="E19" s="9" t="s">
        <v>36</v>
      </c>
      <c r="F19" s="9" t="s">
        <v>54</v>
      </c>
    </row>
    <row r="20" spans="2:13" x14ac:dyDescent="0.55000000000000004">
      <c r="B20" s="8" t="s">
        <v>31</v>
      </c>
      <c r="C20" s="8">
        <v>7.85</v>
      </c>
      <c r="D20" s="8" t="s">
        <v>40</v>
      </c>
      <c r="E20" s="11">
        <v>44888.4765625</v>
      </c>
      <c r="F20" s="8"/>
    </row>
    <row r="21" spans="2:13" x14ac:dyDescent="0.55000000000000004">
      <c r="B21" s="8" t="s">
        <v>30</v>
      </c>
      <c r="C21" s="8">
        <v>3.25</v>
      </c>
      <c r="D21" s="8" t="s">
        <v>40</v>
      </c>
      <c r="E21" s="11">
        <v>45232.487638888888</v>
      </c>
      <c r="F21" s="8"/>
    </row>
    <row r="22" spans="2:13" x14ac:dyDescent="0.55000000000000004">
      <c r="B22" s="8" t="s">
        <v>29</v>
      </c>
      <c r="C22" s="8">
        <v>12.5</v>
      </c>
      <c r="D22" s="8" t="s">
        <v>40</v>
      </c>
      <c r="E22" s="11">
        <v>45253.499027777776</v>
      </c>
      <c r="F22" s="8"/>
    </row>
    <row r="23" spans="2:13" ht="18.75" customHeight="1" x14ac:dyDescent="0.55000000000000004">
      <c r="B23" s="8" t="s">
        <v>28</v>
      </c>
      <c r="C23" s="8">
        <v>6.35</v>
      </c>
      <c r="D23" s="8" t="s">
        <v>40</v>
      </c>
      <c r="E23" s="11">
        <v>44852.505381944444</v>
      </c>
      <c r="F23" s="8"/>
      <c r="H23" s="22" t="s">
        <v>53</v>
      </c>
      <c r="I23" s="22"/>
      <c r="J23" s="22"/>
      <c r="M23" s="10">
        <f>SUMIF(D20:D31,"Amazon",C20:C31)</f>
        <v>0</v>
      </c>
    </row>
    <row r="24" spans="2:13" x14ac:dyDescent="0.55000000000000004">
      <c r="B24" s="8" t="s">
        <v>27</v>
      </c>
      <c r="C24" s="8">
        <v>2.5</v>
      </c>
      <c r="D24" s="8" t="s">
        <v>40</v>
      </c>
      <c r="E24" s="11">
        <v>44888.520162037035</v>
      </c>
      <c r="F24" s="8"/>
      <c r="H24" s="22"/>
      <c r="I24" s="22"/>
      <c r="J24" s="22"/>
    </row>
    <row r="25" spans="2:13" x14ac:dyDescent="0.55000000000000004">
      <c r="B25" s="8" t="s">
        <v>26</v>
      </c>
      <c r="C25" s="8">
        <v>6.5</v>
      </c>
      <c r="D25" s="8" t="s">
        <v>40</v>
      </c>
      <c r="E25" s="11">
        <v>44923.573692129627</v>
      </c>
      <c r="F25" s="8"/>
    </row>
    <row r="26" spans="2:13" x14ac:dyDescent="0.55000000000000004">
      <c r="B26" s="8" t="s">
        <v>31</v>
      </c>
      <c r="C26" s="8">
        <v>8.75</v>
      </c>
      <c r="D26" s="8" t="s">
        <v>40</v>
      </c>
      <c r="E26" s="11">
        <v>44888.593831018516</v>
      </c>
      <c r="F26" s="8"/>
    </row>
    <row r="27" spans="2:13" x14ac:dyDescent="0.55000000000000004">
      <c r="B27" s="8" t="s">
        <v>28</v>
      </c>
      <c r="C27" s="8">
        <v>4.6500000000000004</v>
      </c>
      <c r="D27" s="8" t="s">
        <v>40</v>
      </c>
      <c r="E27" s="11">
        <v>44888.656423611108</v>
      </c>
      <c r="F27" s="8"/>
    </row>
    <row r="28" spans="2:13" x14ac:dyDescent="0.55000000000000004">
      <c r="B28" s="8" t="s">
        <v>31</v>
      </c>
      <c r="C28" s="8">
        <v>12.85</v>
      </c>
      <c r="D28" s="8" t="s">
        <v>40</v>
      </c>
      <c r="E28" s="11">
        <v>44889.675300925926</v>
      </c>
      <c r="F28" s="8"/>
    </row>
    <row r="29" spans="2:13" x14ac:dyDescent="0.55000000000000004">
      <c r="B29" s="8" t="s">
        <v>30</v>
      </c>
      <c r="C29" s="8">
        <v>8.25</v>
      </c>
      <c r="D29" s="8" t="s">
        <v>40</v>
      </c>
      <c r="E29" s="11">
        <v>44888.686539351853</v>
      </c>
      <c r="F29" s="8"/>
    </row>
    <row r="30" spans="2:13" x14ac:dyDescent="0.55000000000000004">
      <c r="B30" s="8" t="s">
        <v>29</v>
      </c>
      <c r="C30" s="8">
        <v>13.5</v>
      </c>
      <c r="D30" s="8" t="s">
        <v>40</v>
      </c>
      <c r="E30" s="11">
        <v>44888.70815972222</v>
      </c>
      <c r="F30" s="8"/>
    </row>
    <row r="31" spans="2:13" x14ac:dyDescent="0.55000000000000004">
      <c r="B31" s="8" t="s">
        <v>28</v>
      </c>
      <c r="C31" s="8">
        <v>9.9499999999999993</v>
      </c>
      <c r="D31" s="8" t="s">
        <v>40</v>
      </c>
      <c r="E31" s="11">
        <v>44888.783391203702</v>
      </c>
      <c r="F31" s="8"/>
    </row>
    <row r="42" spans="2:13" x14ac:dyDescent="0.55000000000000004">
      <c r="B42" s="9" t="s">
        <v>32</v>
      </c>
      <c r="C42" s="9" t="s">
        <v>33</v>
      </c>
      <c r="D42" s="9" t="s">
        <v>39</v>
      </c>
      <c r="E42" s="9" t="s">
        <v>36</v>
      </c>
      <c r="F42" s="9" t="s">
        <v>35</v>
      </c>
    </row>
    <row r="43" spans="2:13" x14ac:dyDescent="0.55000000000000004">
      <c r="B43" s="8" t="s">
        <v>31</v>
      </c>
      <c r="C43" s="8">
        <v>7.85</v>
      </c>
      <c r="D43" s="8" t="s">
        <v>40</v>
      </c>
      <c r="E43" s="11">
        <v>44888.4765625</v>
      </c>
      <c r="F43" s="8"/>
    </row>
    <row r="44" spans="2:13" x14ac:dyDescent="0.55000000000000004">
      <c r="B44" s="8" t="s">
        <v>30</v>
      </c>
      <c r="C44" s="8">
        <v>3.25</v>
      </c>
      <c r="D44" s="8" t="s">
        <v>40</v>
      </c>
      <c r="E44" s="11">
        <v>45232.487638888888</v>
      </c>
      <c r="F44" s="8"/>
    </row>
    <row r="45" spans="2:13" x14ac:dyDescent="0.55000000000000004">
      <c r="B45" s="8" t="s">
        <v>29</v>
      </c>
      <c r="C45" s="8">
        <v>12.5</v>
      </c>
      <c r="D45" s="8" t="s">
        <v>40</v>
      </c>
      <c r="E45" s="11">
        <v>45253.499027777776</v>
      </c>
      <c r="F45" s="8"/>
    </row>
    <row r="46" spans="2:13" ht="18.75" customHeight="1" x14ac:dyDescent="0.55000000000000004">
      <c r="B46" s="8" t="s">
        <v>28</v>
      </c>
      <c r="C46" s="8">
        <v>6.35</v>
      </c>
      <c r="D46" s="8" t="s">
        <v>40</v>
      </c>
      <c r="E46" s="11">
        <v>44852.505381944444</v>
      </c>
      <c r="F46" s="8"/>
      <c r="H46" s="22" t="s">
        <v>55</v>
      </c>
      <c r="I46" s="22"/>
      <c r="J46" s="22"/>
      <c r="M46" s="10">
        <f>SUMIF(D43:D54,"Amazon",C43:C54)</f>
        <v>0</v>
      </c>
    </row>
    <row r="47" spans="2:13" x14ac:dyDescent="0.55000000000000004">
      <c r="B47" s="8" t="s">
        <v>27</v>
      </c>
      <c r="C47" s="8">
        <v>2.5</v>
      </c>
      <c r="D47" s="8" t="s">
        <v>40</v>
      </c>
      <c r="E47" s="11">
        <v>44888.520162037035</v>
      </c>
      <c r="F47" s="8"/>
      <c r="H47" s="22"/>
      <c r="I47" s="22"/>
      <c r="J47" s="22"/>
    </row>
    <row r="48" spans="2:13" x14ac:dyDescent="0.55000000000000004">
      <c r="B48" s="8" t="s">
        <v>26</v>
      </c>
      <c r="C48" s="8">
        <v>6.5</v>
      </c>
      <c r="D48" s="8" t="s">
        <v>40</v>
      </c>
      <c r="E48" s="11">
        <v>44923.573692129627</v>
      </c>
      <c r="F48" s="8"/>
    </row>
    <row r="49" spans="2:6" x14ac:dyDescent="0.55000000000000004">
      <c r="B49" s="8" t="s">
        <v>31</v>
      </c>
      <c r="C49" s="8">
        <v>8.75</v>
      </c>
      <c r="D49" s="8" t="s">
        <v>40</v>
      </c>
      <c r="E49" s="11">
        <v>44888.593831018516</v>
      </c>
      <c r="F49" s="8"/>
    </row>
    <row r="50" spans="2:6" x14ac:dyDescent="0.55000000000000004">
      <c r="B50" s="8" t="s">
        <v>28</v>
      </c>
      <c r="C50" s="8">
        <v>4.6500000000000004</v>
      </c>
      <c r="D50" s="8" t="s">
        <v>40</v>
      </c>
      <c r="E50" s="11">
        <v>44888.656423611108</v>
      </c>
      <c r="F50" s="8"/>
    </row>
    <row r="51" spans="2:6" x14ac:dyDescent="0.55000000000000004">
      <c r="B51" s="8" t="s">
        <v>31</v>
      </c>
      <c r="C51" s="8">
        <v>12.85</v>
      </c>
      <c r="D51" s="8" t="s">
        <v>40</v>
      </c>
      <c r="E51" s="11">
        <v>44889.675300925926</v>
      </c>
      <c r="F51" s="8"/>
    </row>
    <row r="52" spans="2:6" x14ac:dyDescent="0.55000000000000004">
      <c r="B52" s="8" t="s">
        <v>30</v>
      </c>
      <c r="C52" s="8">
        <v>8.25</v>
      </c>
      <c r="D52" s="8" t="s">
        <v>40</v>
      </c>
      <c r="E52" s="11">
        <v>44888.686539351853</v>
      </c>
      <c r="F52" s="8"/>
    </row>
    <row r="53" spans="2:6" x14ac:dyDescent="0.55000000000000004">
      <c r="B53" s="8" t="s">
        <v>29</v>
      </c>
      <c r="C53" s="8">
        <v>13.5</v>
      </c>
      <c r="D53" s="8" t="s">
        <v>40</v>
      </c>
      <c r="E53" s="11">
        <v>44888.70815972222</v>
      </c>
      <c r="F53" s="8"/>
    </row>
    <row r="54" spans="2:6" x14ac:dyDescent="0.55000000000000004">
      <c r="B54" s="8" t="s">
        <v>28</v>
      </c>
      <c r="C54" s="8">
        <v>9.9499999999999993</v>
      </c>
      <c r="D54" s="8" t="s">
        <v>40</v>
      </c>
      <c r="E54" s="11">
        <v>44888.783391203702</v>
      </c>
      <c r="F54" s="8"/>
    </row>
  </sheetData>
  <mergeCells count="3">
    <mergeCell ref="H7:J8"/>
    <mergeCell ref="H23:J24"/>
    <mergeCell ref="H46:J4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62AD-ADBC-4B5B-81F7-A14A90E7DAD7}">
  <sheetPr>
    <outlinePr summaryBelow="0" summaryRight="0"/>
  </sheetPr>
  <dimension ref="A1:S151"/>
  <sheetViews>
    <sheetView showGridLines="0" tabSelected="1" workbookViewId="0">
      <selection activeCell="G11" sqref="G11"/>
    </sheetView>
  </sheetViews>
  <sheetFormatPr defaultColWidth="14.19921875" defaultRowHeight="15.75" customHeight="1" x14ac:dyDescent="0.4"/>
  <cols>
    <col min="1" max="1" width="9.73046875" style="16" customWidth="1"/>
    <col min="2" max="2" width="24.265625" style="16" bestFit="1" customWidth="1"/>
    <col min="3" max="3" width="17.53125" style="16" bestFit="1" customWidth="1"/>
    <col min="4" max="4" width="15.1328125" style="16" bestFit="1" customWidth="1"/>
    <col min="5" max="5" width="17" style="16" customWidth="1"/>
    <col min="6" max="6" width="20.33203125" style="16" bestFit="1" customWidth="1"/>
    <col min="7" max="7" width="19.3984375" style="16" bestFit="1" customWidth="1"/>
    <col min="8" max="8" width="31.9296875" style="16" bestFit="1" customWidth="1"/>
    <col min="9" max="9" width="17.33203125" style="16" bestFit="1" customWidth="1"/>
    <col min="10" max="10" width="28.3984375" style="16" bestFit="1" customWidth="1"/>
    <col min="11" max="11" width="20.1328125" style="16" bestFit="1" customWidth="1"/>
    <col min="12" max="12" width="17" style="16" bestFit="1" customWidth="1"/>
    <col min="13" max="13" width="21.6640625" style="16" bestFit="1" customWidth="1"/>
    <col min="14" max="14" width="11.3984375" style="16" bestFit="1" customWidth="1"/>
    <col min="15" max="15" width="14.19921875" style="16"/>
    <col min="16" max="16" width="18.6640625" style="16" bestFit="1" customWidth="1"/>
    <col min="17" max="17" width="26.6640625" style="16" bestFit="1" customWidth="1"/>
    <col min="18" max="18" width="21.59765625" style="16" bestFit="1" customWidth="1"/>
    <col min="19" max="19" width="30.796875" style="16" bestFit="1" customWidth="1"/>
    <col min="20" max="16384" width="14.19921875" style="16"/>
  </cols>
  <sheetData>
    <row r="1" spans="1:19" ht="15.75" customHeight="1" x14ac:dyDescent="0.4">
      <c r="A1" s="15" t="s">
        <v>56</v>
      </c>
      <c r="B1" s="15" t="s">
        <v>58</v>
      </c>
      <c r="C1" s="15" t="s">
        <v>59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66</v>
      </c>
      <c r="K1" s="15" t="s">
        <v>67</v>
      </c>
      <c r="L1" s="15" t="s">
        <v>68</v>
      </c>
      <c r="M1" s="15" t="s">
        <v>69</v>
      </c>
      <c r="N1" s="15" t="s">
        <v>70</v>
      </c>
      <c r="O1" s="15" t="s">
        <v>57</v>
      </c>
      <c r="P1" s="15" t="s">
        <v>71</v>
      </c>
      <c r="Q1" s="15" t="s">
        <v>72</v>
      </c>
      <c r="R1" s="17" t="s">
        <v>549</v>
      </c>
      <c r="S1" s="17" t="s">
        <v>550</v>
      </c>
    </row>
    <row r="2" spans="1:19" x14ac:dyDescent="0.5">
      <c r="A2" s="18">
        <v>1001</v>
      </c>
      <c r="B2" s="18" t="s">
        <v>73</v>
      </c>
      <c r="C2" s="18" t="s">
        <v>74</v>
      </c>
      <c r="D2" s="19">
        <v>38218</v>
      </c>
      <c r="E2" s="18" t="s">
        <v>75</v>
      </c>
      <c r="F2" s="20">
        <v>43238.690034722225</v>
      </c>
      <c r="G2" s="18">
        <v>2315366229</v>
      </c>
      <c r="H2" s="18" t="s">
        <v>76</v>
      </c>
      <c r="I2" s="18" t="s">
        <v>77</v>
      </c>
      <c r="J2" s="18" t="s">
        <v>78</v>
      </c>
      <c r="K2" s="18">
        <v>83848.62</v>
      </c>
      <c r="L2" s="18" t="s">
        <v>79</v>
      </c>
      <c r="M2" s="18">
        <v>5028</v>
      </c>
      <c r="N2" s="18" t="s">
        <v>80</v>
      </c>
      <c r="O2" s="18">
        <v>9</v>
      </c>
      <c r="P2" s="18" t="s">
        <v>81</v>
      </c>
      <c r="Q2" s="18" t="s">
        <v>82</v>
      </c>
      <c r="R2" s="24">
        <f ca="1">_xlfn.DAYS(TODAY(),D2)/365</f>
        <v>21.608219178082191</v>
      </c>
      <c r="S2" s="24">
        <f ca="1">_xlfn.DAYS(TODAY(),F2)/365</f>
        <v>7.8547945205479452</v>
      </c>
    </row>
    <row r="3" spans="1:19" x14ac:dyDescent="0.5">
      <c r="A3" s="18">
        <f>A2+1</f>
        <v>1002</v>
      </c>
      <c r="B3" s="18" t="s">
        <v>83</v>
      </c>
      <c r="C3" s="18" t="s">
        <v>74</v>
      </c>
      <c r="D3" s="19">
        <v>37866</v>
      </c>
      <c r="E3" s="18" t="s">
        <v>84</v>
      </c>
      <c r="F3" s="20">
        <v>43245.905335648145</v>
      </c>
      <c r="G3" s="18">
        <v>807886826</v>
      </c>
      <c r="H3" s="18" t="s">
        <v>85</v>
      </c>
      <c r="I3" s="18" t="s">
        <v>86</v>
      </c>
      <c r="J3" s="18" t="s">
        <v>78</v>
      </c>
      <c r="K3" s="18">
        <v>65592.3</v>
      </c>
      <c r="L3" s="18" t="s">
        <v>79</v>
      </c>
      <c r="M3" s="18">
        <v>5011</v>
      </c>
      <c r="N3" s="18" t="s">
        <v>87</v>
      </c>
      <c r="O3" s="18">
        <v>12</v>
      </c>
      <c r="P3" s="18" t="s">
        <v>88</v>
      </c>
      <c r="Q3" s="18" t="s">
        <v>82</v>
      </c>
      <c r="R3" s="24">
        <f t="shared" ref="R3:R66" ca="1" si="0">_xlfn.DAYS(TODAY(),D3)/365</f>
        <v>22.572602739726026</v>
      </c>
      <c r="S3" s="24">
        <f t="shared" ref="S3:S66" ca="1" si="1">_xlfn.DAYS(TODAY(),F3)/365</f>
        <v>7.8356164383561646</v>
      </c>
    </row>
    <row r="4" spans="1:19" x14ac:dyDescent="0.5">
      <c r="A4" s="18">
        <f t="shared" ref="A4:A67" si="2">A3+1</f>
        <v>1003</v>
      </c>
      <c r="B4" s="18" t="s">
        <v>89</v>
      </c>
      <c r="C4" s="18" t="s">
        <v>90</v>
      </c>
      <c r="D4" s="19">
        <v>33820</v>
      </c>
      <c r="E4" s="18" t="s">
        <v>91</v>
      </c>
      <c r="F4" s="20">
        <v>43280.528692129628</v>
      </c>
      <c r="G4" s="18">
        <v>5830455932</v>
      </c>
      <c r="H4" s="18" t="s">
        <v>92</v>
      </c>
      <c r="I4" s="18" t="s">
        <v>86</v>
      </c>
      <c r="J4" s="18" t="s">
        <v>78</v>
      </c>
      <c r="K4" s="18">
        <v>135277.07999999999</v>
      </c>
      <c r="L4" s="18" t="s">
        <v>79</v>
      </c>
      <c r="M4" s="18">
        <v>5038</v>
      </c>
      <c r="N4" s="18" t="s">
        <v>93</v>
      </c>
      <c r="O4" s="18">
        <v>17</v>
      </c>
      <c r="P4" s="18" t="s">
        <v>94</v>
      </c>
      <c r="Q4" s="18" t="s">
        <v>82</v>
      </c>
      <c r="R4" s="24">
        <f t="shared" ca="1" si="0"/>
        <v>33.657534246575345</v>
      </c>
      <c r="S4" s="24">
        <f t="shared" ca="1" si="1"/>
        <v>7.7397260273972606</v>
      </c>
    </row>
    <row r="5" spans="1:19" x14ac:dyDescent="0.5">
      <c r="A5" s="18">
        <f t="shared" si="2"/>
        <v>1004</v>
      </c>
      <c r="B5" s="18" t="s">
        <v>95</v>
      </c>
      <c r="C5" s="18" t="s">
        <v>90</v>
      </c>
      <c r="D5" s="19">
        <v>36431</v>
      </c>
      <c r="E5" s="18" t="s">
        <v>96</v>
      </c>
      <c r="F5" s="20">
        <v>43288.245648148149</v>
      </c>
      <c r="G5" s="18">
        <v>6782478893</v>
      </c>
      <c r="H5" s="18" t="s">
        <v>97</v>
      </c>
      <c r="I5" s="18" t="s">
        <v>98</v>
      </c>
      <c r="J5" s="18" t="s">
        <v>78</v>
      </c>
      <c r="K5" s="18">
        <v>149938.47</v>
      </c>
      <c r="L5" s="18" t="s">
        <v>79</v>
      </c>
      <c r="M5" s="18">
        <v>5046</v>
      </c>
      <c r="N5" s="18" t="s">
        <v>87</v>
      </c>
      <c r="O5" s="18">
        <v>9</v>
      </c>
      <c r="P5" s="18" t="s">
        <v>99</v>
      </c>
      <c r="Q5" s="18" t="s">
        <v>82</v>
      </c>
      <c r="R5" s="24">
        <f t="shared" ca="1" si="0"/>
        <v>26.504109589041096</v>
      </c>
      <c r="S5" s="24">
        <f t="shared" ca="1" si="1"/>
        <v>7.7178082191780826</v>
      </c>
    </row>
    <row r="6" spans="1:19" x14ac:dyDescent="0.5">
      <c r="A6" s="18">
        <f t="shared" si="2"/>
        <v>1005</v>
      </c>
      <c r="B6" s="18" t="s">
        <v>100</v>
      </c>
      <c r="C6" s="18" t="s">
        <v>90</v>
      </c>
      <c r="D6" s="19">
        <v>34366</v>
      </c>
      <c r="E6" s="18" t="s">
        <v>101</v>
      </c>
      <c r="F6" s="20">
        <v>43292.958877314813</v>
      </c>
      <c r="G6" s="18">
        <v>7228707342</v>
      </c>
      <c r="H6" s="18" t="s">
        <v>102</v>
      </c>
      <c r="I6" s="18" t="s">
        <v>77</v>
      </c>
      <c r="J6" s="18" t="s">
        <v>103</v>
      </c>
      <c r="K6" s="18">
        <v>76177.289999999994</v>
      </c>
      <c r="L6" s="18" t="s">
        <v>104</v>
      </c>
      <c r="M6" s="18">
        <v>5042</v>
      </c>
      <c r="N6" s="18" t="s">
        <v>80</v>
      </c>
      <c r="O6" s="18">
        <v>18</v>
      </c>
      <c r="P6" s="18" t="s">
        <v>82</v>
      </c>
      <c r="Q6" s="18" t="s">
        <v>82</v>
      </c>
      <c r="R6" s="24">
        <f t="shared" ca="1" si="0"/>
        <v>32.161643835616438</v>
      </c>
      <c r="S6" s="24">
        <f t="shared" ca="1" si="1"/>
        <v>7.7068493150684931</v>
      </c>
    </row>
    <row r="7" spans="1:19" x14ac:dyDescent="0.5">
      <c r="A7" s="18">
        <f t="shared" si="2"/>
        <v>1006</v>
      </c>
      <c r="B7" s="18" t="s">
        <v>105</v>
      </c>
      <c r="C7" s="18" t="s">
        <v>74</v>
      </c>
      <c r="D7" s="19">
        <v>28508</v>
      </c>
      <c r="E7" s="18" t="s">
        <v>106</v>
      </c>
      <c r="F7" s="20">
        <v>43299.377997685187</v>
      </c>
      <c r="G7" s="18">
        <v>1154256848</v>
      </c>
      <c r="H7" s="18" t="s">
        <v>107</v>
      </c>
      <c r="I7" s="18" t="s">
        <v>98</v>
      </c>
      <c r="J7" s="18" t="s">
        <v>78</v>
      </c>
      <c r="K7" s="18">
        <v>87231.5</v>
      </c>
      <c r="L7" s="18" t="s">
        <v>104</v>
      </c>
      <c r="M7" s="18">
        <v>5039</v>
      </c>
      <c r="N7" s="18" t="s">
        <v>108</v>
      </c>
      <c r="O7" s="18">
        <v>10</v>
      </c>
      <c r="P7" s="18" t="s">
        <v>109</v>
      </c>
      <c r="Q7" s="18" t="s">
        <v>110</v>
      </c>
      <c r="R7" s="24">
        <f t="shared" ca="1" si="0"/>
        <v>48.210958904109589</v>
      </c>
      <c r="S7" s="24">
        <f t="shared" ca="1" si="1"/>
        <v>7.6876712328767125</v>
      </c>
    </row>
    <row r="8" spans="1:19" x14ac:dyDescent="0.5">
      <c r="A8" s="18">
        <f t="shared" si="2"/>
        <v>1007</v>
      </c>
      <c r="B8" s="18" t="s">
        <v>111</v>
      </c>
      <c r="C8" s="18" t="s">
        <v>74</v>
      </c>
      <c r="D8" s="19">
        <v>34583</v>
      </c>
      <c r="E8" s="18" t="s">
        <v>112</v>
      </c>
      <c r="F8" s="20">
        <v>43323.112175925926</v>
      </c>
      <c r="G8" s="18">
        <v>5043986660</v>
      </c>
      <c r="H8" s="18" t="s">
        <v>113</v>
      </c>
      <c r="I8" s="18" t="s">
        <v>77</v>
      </c>
      <c r="J8" s="18" t="s">
        <v>78</v>
      </c>
      <c r="K8" s="18">
        <v>122227.36</v>
      </c>
      <c r="L8" s="18" t="s">
        <v>79</v>
      </c>
      <c r="M8" s="18">
        <v>5006</v>
      </c>
      <c r="N8" s="18" t="s">
        <v>108</v>
      </c>
      <c r="O8" s="18">
        <v>21</v>
      </c>
      <c r="P8" s="18" t="s">
        <v>82</v>
      </c>
      <c r="Q8" s="18" t="s">
        <v>82</v>
      </c>
      <c r="R8" s="24">
        <f t="shared" ca="1" si="0"/>
        <v>31.567123287671233</v>
      </c>
      <c r="S8" s="24">
        <f t="shared" ca="1" si="1"/>
        <v>7.6219178082191785</v>
      </c>
    </row>
    <row r="9" spans="1:19" x14ac:dyDescent="0.5">
      <c r="A9" s="18">
        <f t="shared" si="2"/>
        <v>1008</v>
      </c>
      <c r="B9" s="18" t="s">
        <v>114</v>
      </c>
      <c r="C9" s="18" t="s">
        <v>74</v>
      </c>
      <c r="D9" s="21">
        <v>37253</v>
      </c>
      <c r="E9" s="18" t="s">
        <v>115</v>
      </c>
      <c r="F9" s="20">
        <v>43326.062025462961</v>
      </c>
      <c r="G9" s="18">
        <v>7867038376</v>
      </c>
      <c r="H9" s="18" t="s">
        <v>116</v>
      </c>
      <c r="I9" s="18" t="s">
        <v>98</v>
      </c>
      <c r="J9" s="18" t="s">
        <v>78</v>
      </c>
      <c r="K9" s="18">
        <v>52548.53</v>
      </c>
      <c r="L9" s="18" t="s">
        <v>117</v>
      </c>
      <c r="M9" s="18">
        <v>5038</v>
      </c>
      <c r="N9" s="18" t="s">
        <v>118</v>
      </c>
      <c r="O9" s="18">
        <v>12</v>
      </c>
      <c r="P9" s="18" t="s">
        <v>119</v>
      </c>
      <c r="Q9" s="18" t="s">
        <v>110</v>
      </c>
      <c r="R9" s="24">
        <f t="shared" ca="1" si="0"/>
        <v>24.252054794520546</v>
      </c>
      <c r="S9" s="24">
        <f t="shared" ca="1" si="1"/>
        <v>7.6136986301369864</v>
      </c>
    </row>
    <row r="10" spans="1:19" x14ac:dyDescent="0.5">
      <c r="A10" s="18">
        <f t="shared" si="2"/>
        <v>1009</v>
      </c>
      <c r="B10" s="18" t="s">
        <v>120</v>
      </c>
      <c r="C10" s="18" t="s">
        <v>90</v>
      </c>
      <c r="D10" s="19">
        <v>33633</v>
      </c>
      <c r="E10" s="18" t="s">
        <v>121</v>
      </c>
      <c r="F10" s="20">
        <v>43348.768553240741</v>
      </c>
      <c r="G10" s="18">
        <v>6433876874</v>
      </c>
      <c r="H10" s="18" t="s">
        <v>122</v>
      </c>
      <c r="I10" s="18" t="s">
        <v>86</v>
      </c>
      <c r="J10" s="18" t="s">
        <v>103</v>
      </c>
      <c r="K10" s="18">
        <v>95363.59</v>
      </c>
      <c r="L10" s="18" t="s">
        <v>79</v>
      </c>
      <c r="M10" s="18">
        <v>5048</v>
      </c>
      <c r="N10" s="18" t="s">
        <v>108</v>
      </c>
      <c r="O10" s="18">
        <v>12</v>
      </c>
      <c r="P10" s="18" t="s">
        <v>123</v>
      </c>
      <c r="Q10" s="18" t="s">
        <v>110</v>
      </c>
      <c r="R10" s="24">
        <f t="shared" ca="1" si="0"/>
        <v>34.169863013698631</v>
      </c>
      <c r="S10" s="24">
        <f t="shared" ca="1" si="1"/>
        <v>7.5534246575342463</v>
      </c>
    </row>
    <row r="11" spans="1:19" x14ac:dyDescent="0.5">
      <c r="A11" s="18">
        <f t="shared" si="2"/>
        <v>1010</v>
      </c>
      <c r="B11" s="18" t="s">
        <v>124</v>
      </c>
      <c r="C11" s="18" t="s">
        <v>74</v>
      </c>
      <c r="D11" s="19">
        <v>30505</v>
      </c>
      <c r="E11" s="18" t="s">
        <v>125</v>
      </c>
      <c r="F11" s="20">
        <v>43465.644560185188</v>
      </c>
      <c r="G11" s="18">
        <v>3403185699</v>
      </c>
      <c r="H11" s="18" t="s">
        <v>126</v>
      </c>
      <c r="I11" s="18" t="s">
        <v>77</v>
      </c>
      <c r="J11" s="18" t="s">
        <v>78</v>
      </c>
      <c r="K11" s="18">
        <v>88476.04</v>
      </c>
      <c r="L11" s="18" t="s">
        <v>127</v>
      </c>
      <c r="M11" s="18">
        <v>5044</v>
      </c>
      <c r="N11" s="18" t="s">
        <v>93</v>
      </c>
      <c r="O11" s="18">
        <v>5</v>
      </c>
      <c r="P11" s="18" t="s">
        <v>119</v>
      </c>
      <c r="Q11" s="18" t="s">
        <v>110</v>
      </c>
      <c r="R11" s="24">
        <f t="shared" ca="1" si="0"/>
        <v>42.739726027397261</v>
      </c>
      <c r="S11" s="24">
        <f t="shared" ca="1" si="1"/>
        <v>7.2328767123287667</v>
      </c>
    </row>
    <row r="12" spans="1:19" x14ac:dyDescent="0.5">
      <c r="A12" s="18">
        <f t="shared" si="2"/>
        <v>1011</v>
      </c>
      <c r="B12" s="18" t="s">
        <v>128</v>
      </c>
      <c r="C12" s="18" t="s">
        <v>90</v>
      </c>
      <c r="D12" s="21">
        <v>37237</v>
      </c>
      <c r="E12" s="18" t="s">
        <v>129</v>
      </c>
      <c r="F12" s="20">
        <v>43504.043865740743</v>
      </c>
      <c r="G12" s="18">
        <v>1066055070</v>
      </c>
      <c r="H12" s="18" t="s">
        <v>130</v>
      </c>
      <c r="I12" s="18" t="s">
        <v>86</v>
      </c>
      <c r="J12" s="18" t="s">
        <v>78</v>
      </c>
      <c r="K12" s="18">
        <v>139423.85</v>
      </c>
      <c r="L12" s="18" t="s">
        <v>104</v>
      </c>
      <c r="M12" s="18">
        <v>5004</v>
      </c>
      <c r="N12" s="18" t="s">
        <v>108</v>
      </c>
      <c r="O12" s="18">
        <v>14</v>
      </c>
      <c r="P12" s="18" t="s">
        <v>82</v>
      </c>
      <c r="Q12" s="18" t="s">
        <v>82</v>
      </c>
      <c r="R12" s="24">
        <f t="shared" ca="1" si="0"/>
        <v>24.295890410958904</v>
      </c>
      <c r="S12" s="24">
        <f t="shared" ca="1" si="1"/>
        <v>7.1260273972602741</v>
      </c>
    </row>
    <row r="13" spans="1:19" x14ac:dyDescent="0.5">
      <c r="A13" s="18">
        <f t="shared" si="2"/>
        <v>1012</v>
      </c>
      <c r="B13" s="18" t="s">
        <v>131</v>
      </c>
      <c r="C13" s="18" t="s">
        <v>74</v>
      </c>
      <c r="D13" s="19">
        <v>29165</v>
      </c>
      <c r="E13" s="18" t="s">
        <v>132</v>
      </c>
      <c r="F13" s="20">
        <v>43504.043865740743</v>
      </c>
      <c r="G13" s="18">
        <v>2202734249</v>
      </c>
      <c r="H13" s="18" t="s">
        <v>133</v>
      </c>
      <c r="I13" s="18" t="s">
        <v>86</v>
      </c>
      <c r="J13" s="18" t="s">
        <v>78</v>
      </c>
      <c r="K13" s="18">
        <v>80127.28</v>
      </c>
      <c r="L13" s="18" t="s">
        <v>79</v>
      </c>
      <c r="M13" s="18">
        <v>5029</v>
      </c>
      <c r="N13" s="18" t="s">
        <v>108</v>
      </c>
      <c r="O13" s="18">
        <v>9</v>
      </c>
      <c r="P13" s="18" t="s">
        <v>119</v>
      </c>
      <c r="Q13" s="18" t="s">
        <v>110</v>
      </c>
      <c r="R13" s="24">
        <f t="shared" ca="1" si="0"/>
        <v>46.410958904109592</v>
      </c>
      <c r="S13" s="24">
        <f t="shared" ca="1" si="1"/>
        <v>7.1260273972602741</v>
      </c>
    </row>
    <row r="14" spans="1:19" x14ac:dyDescent="0.5">
      <c r="A14" s="18">
        <f t="shared" si="2"/>
        <v>1013</v>
      </c>
      <c r="B14" s="18" t="s">
        <v>134</v>
      </c>
      <c r="C14" s="18" t="s">
        <v>74</v>
      </c>
      <c r="D14" s="19">
        <v>27582</v>
      </c>
      <c r="E14" s="18" t="s">
        <v>135</v>
      </c>
      <c r="F14" s="20">
        <v>43540.049409722225</v>
      </c>
      <c r="G14" s="18">
        <v>6314767569</v>
      </c>
      <c r="H14" s="18" t="s">
        <v>136</v>
      </c>
      <c r="I14" s="18" t="s">
        <v>86</v>
      </c>
      <c r="J14" s="18" t="s">
        <v>78</v>
      </c>
      <c r="K14" s="18">
        <v>109740.68</v>
      </c>
      <c r="L14" s="18" t="s">
        <v>79</v>
      </c>
      <c r="M14" s="18">
        <v>5046</v>
      </c>
      <c r="N14" s="18" t="s">
        <v>80</v>
      </c>
      <c r="O14" s="18">
        <v>4</v>
      </c>
      <c r="P14" s="18" t="s">
        <v>119</v>
      </c>
      <c r="Q14" s="18" t="s">
        <v>110</v>
      </c>
      <c r="R14" s="24">
        <f t="shared" ca="1" si="0"/>
        <v>50.747945205479454</v>
      </c>
      <c r="S14" s="24">
        <f t="shared" ca="1" si="1"/>
        <v>7.0273972602739727</v>
      </c>
    </row>
    <row r="15" spans="1:19" x14ac:dyDescent="0.5">
      <c r="A15" s="18">
        <f t="shared" si="2"/>
        <v>1014</v>
      </c>
      <c r="B15" s="18" t="s">
        <v>137</v>
      </c>
      <c r="C15" s="18" t="s">
        <v>90</v>
      </c>
      <c r="D15" s="19">
        <v>33323</v>
      </c>
      <c r="E15" s="18" t="s">
        <v>138</v>
      </c>
      <c r="F15" s="20">
        <v>43540.049409722225</v>
      </c>
      <c r="G15" s="18">
        <v>7770838942</v>
      </c>
      <c r="H15" s="18" t="s">
        <v>139</v>
      </c>
      <c r="I15" s="18" t="s">
        <v>77</v>
      </c>
      <c r="J15" s="18" t="s">
        <v>103</v>
      </c>
      <c r="K15" s="18">
        <v>58175</v>
      </c>
      <c r="L15" s="18" t="s">
        <v>104</v>
      </c>
      <c r="M15" s="18">
        <v>5029</v>
      </c>
      <c r="N15" s="18" t="s">
        <v>118</v>
      </c>
      <c r="O15" s="18">
        <v>4</v>
      </c>
      <c r="P15" s="18" t="s">
        <v>119</v>
      </c>
      <c r="Q15" s="18" t="s">
        <v>110</v>
      </c>
      <c r="R15" s="24">
        <f t="shared" ca="1" si="0"/>
        <v>35.019178082191779</v>
      </c>
      <c r="S15" s="24">
        <f t="shared" ca="1" si="1"/>
        <v>7.0273972602739727</v>
      </c>
    </row>
    <row r="16" spans="1:19" x14ac:dyDescent="0.5">
      <c r="A16" s="18">
        <f t="shared" si="2"/>
        <v>1015</v>
      </c>
      <c r="B16" s="18" t="s">
        <v>140</v>
      </c>
      <c r="C16" s="18" t="s">
        <v>74</v>
      </c>
      <c r="D16" s="19">
        <v>32455</v>
      </c>
      <c r="E16" s="18" t="s">
        <v>141</v>
      </c>
      <c r="F16" s="20">
        <v>43546.557893518519</v>
      </c>
      <c r="G16" s="18">
        <v>6141908454</v>
      </c>
      <c r="H16" s="18" t="s">
        <v>142</v>
      </c>
      <c r="I16" s="18" t="s">
        <v>98</v>
      </c>
      <c r="J16" s="18" t="s">
        <v>103</v>
      </c>
      <c r="K16" s="18">
        <v>37979.620000000003</v>
      </c>
      <c r="L16" s="18" t="s">
        <v>79</v>
      </c>
      <c r="M16" s="18">
        <v>5010</v>
      </c>
      <c r="N16" s="18" t="s">
        <v>87</v>
      </c>
      <c r="O16" s="18">
        <v>9</v>
      </c>
      <c r="P16" s="18" t="s">
        <v>82</v>
      </c>
      <c r="Q16" s="18" t="s">
        <v>82</v>
      </c>
      <c r="R16" s="24">
        <f t="shared" ca="1" si="0"/>
        <v>37.397260273972606</v>
      </c>
      <c r="S16" s="24">
        <f t="shared" ca="1" si="1"/>
        <v>7.0109589041095894</v>
      </c>
    </row>
    <row r="17" spans="1:19" x14ac:dyDescent="0.5">
      <c r="A17" s="18">
        <f t="shared" si="2"/>
        <v>1016</v>
      </c>
      <c r="B17" s="18" t="s">
        <v>143</v>
      </c>
      <c r="C17" s="18" t="s">
        <v>74</v>
      </c>
      <c r="D17" s="21">
        <v>32445</v>
      </c>
      <c r="E17" s="18" t="s">
        <v>144</v>
      </c>
      <c r="F17" s="20">
        <v>43546.557893518519</v>
      </c>
      <c r="G17" s="18">
        <v>7626001014</v>
      </c>
      <c r="H17" s="18" t="s">
        <v>145</v>
      </c>
      <c r="I17" s="18" t="s">
        <v>98</v>
      </c>
      <c r="J17" s="18" t="s">
        <v>103</v>
      </c>
      <c r="K17" s="18">
        <v>74692.7</v>
      </c>
      <c r="L17" s="18" t="s">
        <v>117</v>
      </c>
      <c r="M17" s="18">
        <v>5035</v>
      </c>
      <c r="N17" s="18" t="s">
        <v>108</v>
      </c>
      <c r="O17" s="18">
        <v>19</v>
      </c>
      <c r="P17" s="18" t="s">
        <v>146</v>
      </c>
      <c r="Q17" s="18" t="s">
        <v>82</v>
      </c>
      <c r="R17" s="24">
        <f t="shared" ca="1" si="0"/>
        <v>37.424657534246577</v>
      </c>
      <c r="S17" s="24">
        <f t="shared" ca="1" si="1"/>
        <v>7.0109589041095894</v>
      </c>
    </row>
    <row r="18" spans="1:19" x14ac:dyDescent="0.5">
      <c r="A18" s="18">
        <f t="shared" si="2"/>
        <v>1017</v>
      </c>
      <c r="B18" s="18" t="s">
        <v>147</v>
      </c>
      <c r="C18" s="18" t="s">
        <v>90</v>
      </c>
      <c r="D18" s="19">
        <v>29637</v>
      </c>
      <c r="E18" s="18" t="s">
        <v>148</v>
      </c>
      <c r="F18" s="20">
        <v>43553.102824074071</v>
      </c>
      <c r="G18" s="18">
        <v>9182980401</v>
      </c>
      <c r="H18" s="18" t="s">
        <v>149</v>
      </c>
      <c r="I18" s="18" t="s">
        <v>86</v>
      </c>
      <c r="J18" s="18" t="s">
        <v>103</v>
      </c>
      <c r="K18" s="18">
        <v>58336.35</v>
      </c>
      <c r="L18" s="18" t="s">
        <v>127</v>
      </c>
      <c r="M18" s="18">
        <v>5017</v>
      </c>
      <c r="N18" s="18" t="s">
        <v>87</v>
      </c>
      <c r="O18" s="18">
        <v>16</v>
      </c>
      <c r="P18" s="18" t="s">
        <v>109</v>
      </c>
      <c r="Q18" s="18" t="s">
        <v>110</v>
      </c>
      <c r="R18" s="24">
        <f t="shared" ca="1" si="0"/>
        <v>45.11780821917808</v>
      </c>
      <c r="S18" s="24">
        <f t="shared" ca="1" si="1"/>
        <v>6.9917808219178079</v>
      </c>
    </row>
    <row r="19" spans="1:19" x14ac:dyDescent="0.5">
      <c r="A19" s="18">
        <f t="shared" si="2"/>
        <v>1018</v>
      </c>
      <c r="B19" s="18" t="s">
        <v>150</v>
      </c>
      <c r="C19" s="18" t="s">
        <v>90</v>
      </c>
      <c r="D19" s="19">
        <v>35996</v>
      </c>
      <c r="E19" s="18" t="s">
        <v>151</v>
      </c>
      <c r="F19" s="20">
        <v>43553.102824074071</v>
      </c>
      <c r="G19" s="18">
        <v>6159074034</v>
      </c>
      <c r="H19" s="18" t="s">
        <v>152</v>
      </c>
      <c r="I19" s="18" t="s">
        <v>77</v>
      </c>
      <c r="J19" s="18" t="s">
        <v>103</v>
      </c>
      <c r="K19" s="18">
        <v>65626.009999999995</v>
      </c>
      <c r="L19" s="18" t="s">
        <v>79</v>
      </c>
      <c r="M19" s="18">
        <v>5029</v>
      </c>
      <c r="N19" s="18" t="s">
        <v>93</v>
      </c>
      <c r="O19" s="18">
        <v>4</v>
      </c>
      <c r="P19" s="18" t="s">
        <v>82</v>
      </c>
      <c r="Q19" s="18" t="s">
        <v>82</v>
      </c>
      <c r="R19" s="24">
        <f t="shared" ca="1" si="0"/>
        <v>27.695890410958903</v>
      </c>
      <c r="S19" s="24">
        <f t="shared" ca="1" si="1"/>
        <v>6.9917808219178079</v>
      </c>
    </row>
    <row r="20" spans="1:19" x14ac:dyDescent="0.5">
      <c r="A20" s="18">
        <f t="shared" si="2"/>
        <v>1019</v>
      </c>
      <c r="B20" s="18" t="s">
        <v>153</v>
      </c>
      <c r="C20" s="18" t="s">
        <v>90</v>
      </c>
      <c r="D20" s="21">
        <v>29883</v>
      </c>
      <c r="E20" s="18" t="s">
        <v>154</v>
      </c>
      <c r="F20" s="20">
        <v>43587.738206018519</v>
      </c>
      <c r="G20" s="18">
        <v>2035581905</v>
      </c>
      <c r="H20" s="18" t="s">
        <v>155</v>
      </c>
      <c r="I20" s="18" t="s">
        <v>98</v>
      </c>
      <c r="J20" s="18" t="s">
        <v>78</v>
      </c>
      <c r="K20" s="18">
        <v>86659.34</v>
      </c>
      <c r="L20" s="18" t="s">
        <v>79</v>
      </c>
      <c r="M20" s="18">
        <v>5049</v>
      </c>
      <c r="N20" s="18" t="s">
        <v>80</v>
      </c>
      <c r="O20" s="18">
        <v>8</v>
      </c>
      <c r="P20" s="18" t="s">
        <v>146</v>
      </c>
      <c r="Q20" s="18" t="s">
        <v>82</v>
      </c>
      <c r="R20" s="24">
        <f t="shared" ca="1" si="0"/>
        <v>44.443835616438356</v>
      </c>
      <c r="S20" s="24">
        <f t="shared" ca="1" si="1"/>
        <v>6.8986301369863012</v>
      </c>
    </row>
    <row r="21" spans="1:19" x14ac:dyDescent="0.5">
      <c r="A21" s="18">
        <f t="shared" si="2"/>
        <v>1020</v>
      </c>
      <c r="B21" s="18" t="s">
        <v>156</v>
      </c>
      <c r="C21" s="18" t="s">
        <v>90</v>
      </c>
      <c r="D21" s="19">
        <v>30411</v>
      </c>
      <c r="E21" s="18" t="s">
        <v>157</v>
      </c>
      <c r="F21" s="20">
        <v>43587.738206018519</v>
      </c>
      <c r="G21" s="18">
        <v>8972603022</v>
      </c>
      <c r="H21" s="18" t="s">
        <v>158</v>
      </c>
      <c r="I21" s="18" t="s">
        <v>77</v>
      </c>
      <c r="J21" s="18" t="s">
        <v>78</v>
      </c>
      <c r="K21" s="18">
        <v>46423.31</v>
      </c>
      <c r="L21" s="18" t="s">
        <v>79</v>
      </c>
      <c r="M21" s="18">
        <v>5043</v>
      </c>
      <c r="N21" s="18" t="s">
        <v>93</v>
      </c>
      <c r="O21" s="18">
        <v>11</v>
      </c>
      <c r="P21" s="18" t="s">
        <v>146</v>
      </c>
      <c r="Q21" s="18" t="s">
        <v>82</v>
      </c>
      <c r="R21" s="24">
        <f t="shared" ca="1" si="0"/>
        <v>42.9972602739726</v>
      </c>
      <c r="S21" s="24">
        <f t="shared" ca="1" si="1"/>
        <v>6.8986301369863012</v>
      </c>
    </row>
    <row r="22" spans="1:19" x14ac:dyDescent="0.5">
      <c r="A22" s="18">
        <f t="shared" si="2"/>
        <v>1021</v>
      </c>
      <c r="B22" s="18" t="s">
        <v>159</v>
      </c>
      <c r="C22" s="18" t="s">
        <v>74</v>
      </c>
      <c r="D22" s="19">
        <v>33986</v>
      </c>
      <c r="E22" s="18" t="s">
        <v>160</v>
      </c>
      <c r="F22" s="20">
        <v>43588.007870370369</v>
      </c>
      <c r="G22" s="18">
        <v>4554666927</v>
      </c>
      <c r="H22" s="18" t="s">
        <v>161</v>
      </c>
      <c r="I22" s="18" t="s">
        <v>86</v>
      </c>
      <c r="J22" s="18" t="s">
        <v>78</v>
      </c>
      <c r="K22" s="18">
        <v>105284.62</v>
      </c>
      <c r="L22" s="18" t="s">
        <v>127</v>
      </c>
      <c r="M22" s="18">
        <v>5024</v>
      </c>
      <c r="N22" s="18" t="s">
        <v>80</v>
      </c>
      <c r="O22" s="18">
        <v>12</v>
      </c>
      <c r="P22" s="18" t="s">
        <v>119</v>
      </c>
      <c r="Q22" s="18" t="s">
        <v>110</v>
      </c>
      <c r="R22" s="24">
        <f t="shared" ca="1" si="0"/>
        <v>33.202739726027396</v>
      </c>
      <c r="S22" s="24">
        <f t="shared" ca="1" si="1"/>
        <v>6.8958904109589039</v>
      </c>
    </row>
    <row r="23" spans="1:19" x14ac:dyDescent="0.5">
      <c r="A23" s="18">
        <f t="shared" si="2"/>
        <v>1022</v>
      </c>
      <c r="B23" s="18" t="s">
        <v>162</v>
      </c>
      <c r="C23" s="18" t="s">
        <v>90</v>
      </c>
      <c r="D23" s="19">
        <v>28705</v>
      </c>
      <c r="E23" s="18" t="s">
        <v>163</v>
      </c>
      <c r="F23" s="20">
        <v>43588.007870370369</v>
      </c>
      <c r="G23" s="18">
        <v>8324142553</v>
      </c>
      <c r="H23" s="18" t="s">
        <v>164</v>
      </c>
      <c r="I23" s="18" t="s">
        <v>98</v>
      </c>
      <c r="J23" s="18" t="s">
        <v>103</v>
      </c>
      <c r="K23" s="18">
        <v>119607.18</v>
      </c>
      <c r="L23" s="18" t="s">
        <v>127</v>
      </c>
      <c r="M23" s="18">
        <v>5050</v>
      </c>
      <c r="N23" s="18" t="s">
        <v>118</v>
      </c>
      <c r="O23" s="18">
        <v>18</v>
      </c>
      <c r="P23" s="18" t="s">
        <v>146</v>
      </c>
      <c r="Q23" s="18" t="s">
        <v>82</v>
      </c>
      <c r="R23" s="24">
        <f t="shared" ca="1" si="0"/>
        <v>47.671232876712331</v>
      </c>
      <c r="S23" s="24">
        <f t="shared" ca="1" si="1"/>
        <v>6.8958904109589039</v>
      </c>
    </row>
    <row r="24" spans="1:19" x14ac:dyDescent="0.5">
      <c r="A24" s="18">
        <f t="shared" si="2"/>
        <v>1023</v>
      </c>
      <c r="B24" s="18" t="s">
        <v>165</v>
      </c>
      <c r="C24" s="18" t="s">
        <v>90</v>
      </c>
      <c r="D24" s="21">
        <v>27717</v>
      </c>
      <c r="E24" s="18" t="s">
        <v>166</v>
      </c>
      <c r="F24" s="20">
        <v>43595.705254629633</v>
      </c>
      <c r="G24" s="18">
        <v>1071585188</v>
      </c>
      <c r="H24" s="18" t="s">
        <v>167</v>
      </c>
      <c r="I24" s="18" t="s">
        <v>77</v>
      </c>
      <c r="J24" s="18" t="s">
        <v>78</v>
      </c>
      <c r="K24" s="18">
        <v>109154.41</v>
      </c>
      <c r="L24" s="18" t="s">
        <v>104</v>
      </c>
      <c r="M24" s="18">
        <v>5006</v>
      </c>
      <c r="N24" s="18" t="s">
        <v>87</v>
      </c>
      <c r="O24" s="18">
        <v>7</v>
      </c>
      <c r="P24" s="18" t="s">
        <v>146</v>
      </c>
      <c r="Q24" s="18" t="s">
        <v>82</v>
      </c>
      <c r="R24" s="24">
        <f t="shared" ca="1" si="0"/>
        <v>50.37808219178082</v>
      </c>
      <c r="S24" s="24">
        <f t="shared" ca="1" si="1"/>
        <v>6.8767123287671232</v>
      </c>
    </row>
    <row r="25" spans="1:19" x14ac:dyDescent="0.5">
      <c r="A25" s="18">
        <f t="shared" si="2"/>
        <v>1024</v>
      </c>
      <c r="B25" s="18" t="s">
        <v>168</v>
      </c>
      <c r="C25" s="18" t="s">
        <v>74</v>
      </c>
      <c r="D25" s="19">
        <v>36415</v>
      </c>
      <c r="E25" s="18" t="s">
        <v>169</v>
      </c>
      <c r="F25" s="20">
        <v>43595.705254629633</v>
      </c>
      <c r="G25" s="18">
        <v>5491666826</v>
      </c>
      <c r="H25" s="18" t="s">
        <v>170</v>
      </c>
      <c r="I25" s="18" t="s">
        <v>98</v>
      </c>
      <c r="J25" s="18" t="s">
        <v>103</v>
      </c>
      <c r="K25" s="18">
        <v>119381.54</v>
      </c>
      <c r="L25" s="18" t="s">
        <v>104</v>
      </c>
      <c r="M25" s="18">
        <v>5049</v>
      </c>
      <c r="N25" s="18" t="s">
        <v>118</v>
      </c>
      <c r="O25" s="18">
        <v>12</v>
      </c>
      <c r="P25" s="18" t="s">
        <v>119</v>
      </c>
      <c r="Q25" s="18" t="s">
        <v>110</v>
      </c>
      <c r="R25" s="24">
        <f t="shared" ca="1" si="0"/>
        <v>26.547945205479451</v>
      </c>
      <c r="S25" s="24">
        <f t="shared" ca="1" si="1"/>
        <v>6.8767123287671232</v>
      </c>
    </row>
    <row r="26" spans="1:19" x14ac:dyDescent="0.5">
      <c r="A26" s="18">
        <f t="shared" si="2"/>
        <v>1025</v>
      </c>
      <c r="B26" s="18" t="s">
        <v>171</v>
      </c>
      <c r="C26" s="18" t="s">
        <v>90</v>
      </c>
      <c r="D26" s="19">
        <v>26916</v>
      </c>
      <c r="E26" s="18" t="s">
        <v>172</v>
      </c>
      <c r="F26" s="20">
        <v>43636.182997685188</v>
      </c>
      <c r="G26" s="18">
        <v>2138742087</v>
      </c>
      <c r="H26" s="18" t="s">
        <v>173</v>
      </c>
      <c r="I26" s="18" t="s">
        <v>77</v>
      </c>
      <c r="J26" s="18" t="s">
        <v>103</v>
      </c>
      <c r="K26" s="18">
        <v>32627.19</v>
      </c>
      <c r="L26" s="18" t="s">
        <v>127</v>
      </c>
      <c r="M26" s="18">
        <v>5039</v>
      </c>
      <c r="N26" s="18" t="s">
        <v>108</v>
      </c>
      <c r="O26" s="18">
        <v>13</v>
      </c>
      <c r="P26" s="18" t="s">
        <v>82</v>
      </c>
      <c r="Q26" s="18" t="s">
        <v>82</v>
      </c>
      <c r="R26" s="24">
        <f t="shared" ca="1" si="0"/>
        <v>52.57260273972603</v>
      </c>
      <c r="S26" s="24">
        <f t="shared" ca="1" si="1"/>
        <v>6.7643835616438359</v>
      </c>
    </row>
    <row r="27" spans="1:19" x14ac:dyDescent="0.5">
      <c r="A27" s="18">
        <f t="shared" si="2"/>
        <v>1026</v>
      </c>
      <c r="B27" s="18" t="s">
        <v>174</v>
      </c>
      <c r="C27" s="18" t="s">
        <v>74</v>
      </c>
      <c r="D27" s="19">
        <v>36166</v>
      </c>
      <c r="E27" s="18" t="s">
        <v>175</v>
      </c>
      <c r="F27" s="20">
        <v>43638.151967592596</v>
      </c>
      <c r="G27" s="18">
        <v>9277483782</v>
      </c>
      <c r="H27" s="18" t="s">
        <v>176</v>
      </c>
      <c r="I27" s="18" t="s">
        <v>86</v>
      </c>
      <c r="J27" s="18" t="s">
        <v>78</v>
      </c>
      <c r="K27" s="18">
        <v>79000.800000000003</v>
      </c>
      <c r="L27" s="18" t="s">
        <v>104</v>
      </c>
      <c r="M27" s="18">
        <v>5049</v>
      </c>
      <c r="N27" s="18" t="s">
        <v>108</v>
      </c>
      <c r="O27" s="18">
        <v>13</v>
      </c>
      <c r="P27" s="18" t="s">
        <v>109</v>
      </c>
      <c r="Q27" s="18" t="s">
        <v>110</v>
      </c>
      <c r="R27" s="24">
        <f t="shared" ca="1" si="0"/>
        <v>27.230136986301371</v>
      </c>
      <c r="S27" s="24">
        <f t="shared" ca="1" si="1"/>
        <v>6.7589041095890412</v>
      </c>
    </row>
    <row r="28" spans="1:19" x14ac:dyDescent="0.5">
      <c r="A28" s="18">
        <f t="shared" si="2"/>
        <v>1027</v>
      </c>
      <c r="B28" s="18" t="s">
        <v>177</v>
      </c>
      <c r="C28" s="18" t="s">
        <v>90</v>
      </c>
      <c r="D28" s="19">
        <v>32916</v>
      </c>
      <c r="E28" s="18" t="s">
        <v>178</v>
      </c>
      <c r="F28" s="20">
        <v>43649.949814814812</v>
      </c>
      <c r="G28" s="18">
        <v>6509483537</v>
      </c>
      <c r="H28" s="18" t="s">
        <v>179</v>
      </c>
      <c r="I28" s="18" t="s">
        <v>77</v>
      </c>
      <c r="J28" s="18" t="s">
        <v>78</v>
      </c>
      <c r="K28" s="18">
        <v>121322.47</v>
      </c>
      <c r="L28" s="18" t="s">
        <v>104</v>
      </c>
      <c r="M28" s="18">
        <v>5001</v>
      </c>
      <c r="N28" s="18" t="s">
        <v>118</v>
      </c>
      <c r="O28" s="18">
        <v>12</v>
      </c>
      <c r="P28" s="18" t="s">
        <v>82</v>
      </c>
      <c r="Q28" s="18" t="s">
        <v>82</v>
      </c>
      <c r="R28" s="24">
        <f t="shared" ca="1" si="0"/>
        <v>36.134246575342466</v>
      </c>
      <c r="S28" s="24">
        <f t="shared" ca="1" si="1"/>
        <v>6.7287671232876711</v>
      </c>
    </row>
    <row r="29" spans="1:19" x14ac:dyDescent="0.5">
      <c r="A29" s="18">
        <f t="shared" si="2"/>
        <v>1028</v>
      </c>
      <c r="B29" s="18" t="s">
        <v>180</v>
      </c>
      <c r="C29" s="18" t="s">
        <v>90</v>
      </c>
      <c r="D29" s="19">
        <v>30384</v>
      </c>
      <c r="E29" s="18" t="s">
        <v>181</v>
      </c>
      <c r="F29" s="20">
        <v>43652.941562499997</v>
      </c>
      <c r="G29" s="18">
        <v>1336383965</v>
      </c>
      <c r="H29" s="18" t="s">
        <v>182</v>
      </c>
      <c r="I29" s="18" t="s">
        <v>77</v>
      </c>
      <c r="J29" s="18" t="s">
        <v>78</v>
      </c>
      <c r="K29" s="18">
        <v>110508.14</v>
      </c>
      <c r="L29" s="18" t="s">
        <v>117</v>
      </c>
      <c r="M29" s="18">
        <v>5012</v>
      </c>
      <c r="N29" s="18" t="s">
        <v>93</v>
      </c>
      <c r="O29" s="18">
        <v>11</v>
      </c>
      <c r="P29" s="18" t="s">
        <v>123</v>
      </c>
      <c r="Q29" s="18" t="s">
        <v>110</v>
      </c>
      <c r="R29" s="24">
        <f t="shared" ca="1" si="0"/>
        <v>43.07123287671233</v>
      </c>
      <c r="S29" s="24">
        <f t="shared" ca="1" si="1"/>
        <v>6.720547945205479</v>
      </c>
    </row>
    <row r="30" spans="1:19" x14ac:dyDescent="0.5">
      <c r="A30" s="18">
        <f t="shared" si="2"/>
        <v>1029</v>
      </c>
      <c r="B30" s="18" t="s">
        <v>183</v>
      </c>
      <c r="C30" s="18" t="s">
        <v>90</v>
      </c>
      <c r="D30" s="19">
        <v>32845</v>
      </c>
      <c r="E30" s="18" t="s">
        <v>184</v>
      </c>
      <c r="F30" s="20">
        <v>43702.283020833333</v>
      </c>
      <c r="G30" s="18">
        <v>2147417395</v>
      </c>
      <c r="H30" s="18" t="s">
        <v>185</v>
      </c>
      <c r="I30" s="18" t="s">
        <v>77</v>
      </c>
      <c r="J30" s="18" t="s">
        <v>103</v>
      </c>
      <c r="K30" s="18">
        <v>55332.05</v>
      </c>
      <c r="L30" s="18" t="s">
        <v>79</v>
      </c>
      <c r="M30" s="18">
        <v>5046</v>
      </c>
      <c r="N30" s="18" t="s">
        <v>87</v>
      </c>
      <c r="O30" s="18">
        <v>19</v>
      </c>
      <c r="P30" s="18" t="s">
        <v>82</v>
      </c>
      <c r="Q30" s="18" t="s">
        <v>82</v>
      </c>
      <c r="R30" s="24">
        <f t="shared" ca="1" si="0"/>
        <v>36.328767123287669</v>
      </c>
      <c r="S30" s="24">
        <f t="shared" ca="1" si="1"/>
        <v>6.5835616438356164</v>
      </c>
    </row>
    <row r="31" spans="1:19" x14ac:dyDescent="0.5">
      <c r="A31" s="18">
        <f t="shared" si="2"/>
        <v>1030</v>
      </c>
      <c r="B31" s="18" t="s">
        <v>186</v>
      </c>
      <c r="C31" s="18" t="s">
        <v>74</v>
      </c>
      <c r="D31" s="19">
        <v>32221</v>
      </c>
      <c r="E31" s="18" t="s">
        <v>187</v>
      </c>
      <c r="F31" s="20">
        <v>43714.97556712963</v>
      </c>
      <c r="G31" s="18">
        <v>7308133189</v>
      </c>
      <c r="H31" s="18" t="s">
        <v>188</v>
      </c>
      <c r="I31" s="18" t="s">
        <v>98</v>
      </c>
      <c r="J31" s="18" t="s">
        <v>78</v>
      </c>
      <c r="K31" s="18">
        <v>56007.45</v>
      </c>
      <c r="L31" s="18" t="s">
        <v>104</v>
      </c>
      <c r="M31" s="18">
        <v>5029</v>
      </c>
      <c r="N31" s="18" t="s">
        <v>93</v>
      </c>
      <c r="O31" s="18">
        <v>1</v>
      </c>
      <c r="P31" s="18" t="s">
        <v>123</v>
      </c>
      <c r="Q31" s="18" t="s">
        <v>110</v>
      </c>
      <c r="R31" s="24">
        <f t="shared" ca="1" si="0"/>
        <v>38.038356164383565</v>
      </c>
      <c r="S31" s="24">
        <f t="shared" ca="1" si="1"/>
        <v>6.5506849315068489</v>
      </c>
    </row>
    <row r="32" spans="1:19" x14ac:dyDescent="0.5">
      <c r="A32" s="18">
        <f t="shared" si="2"/>
        <v>1031</v>
      </c>
      <c r="B32" s="18" t="s">
        <v>189</v>
      </c>
      <c r="C32" s="18" t="s">
        <v>74</v>
      </c>
      <c r="D32" s="21">
        <v>28784</v>
      </c>
      <c r="E32" s="18" t="s">
        <v>190</v>
      </c>
      <c r="F32" s="20">
        <v>43756.42701388889</v>
      </c>
      <c r="G32" s="18">
        <v>891725049</v>
      </c>
      <c r="H32" s="18" t="s">
        <v>191</v>
      </c>
      <c r="I32" s="18" t="s">
        <v>77</v>
      </c>
      <c r="J32" s="18" t="s">
        <v>103</v>
      </c>
      <c r="K32" s="18">
        <v>90721.34</v>
      </c>
      <c r="L32" s="18" t="s">
        <v>127</v>
      </c>
      <c r="M32" s="18">
        <v>5033</v>
      </c>
      <c r="N32" s="18" t="s">
        <v>118</v>
      </c>
      <c r="O32" s="18">
        <v>11</v>
      </c>
      <c r="P32" s="18" t="s">
        <v>123</v>
      </c>
      <c r="Q32" s="18" t="s">
        <v>110</v>
      </c>
      <c r="R32" s="24">
        <f t="shared" ca="1" si="0"/>
        <v>47.454794520547942</v>
      </c>
      <c r="S32" s="24">
        <f t="shared" ca="1" si="1"/>
        <v>6.4356164383561643</v>
      </c>
    </row>
    <row r="33" spans="1:19" x14ac:dyDescent="0.5">
      <c r="A33" s="18">
        <f t="shared" si="2"/>
        <v>1032</v>
      </c>
      <c r="B33" s="18" t="s">
        <v>192</v>
      </c>
      <c r="C33" s="18" t="s">
        <v>74</v>
      </c>
      <c r="D33" s="21">
        <v>32126</v>
      </c>
      <c r="E33" s="18" t="s">
        <v>193</v>
      </c>
      <c r="F33" s="20">
        <v>43765.773506944446</v>
      </c>
      <c r="G33" s="18">
        <v>6647096147</v>
      </c>
      <c r="H33" s="18" t="s">
        <v>194</v>
      </c>
      <c r="I33" s="18" t="s">
        <v>77</v>
      </c>
      <c r="J33" s="18" t="s">
        <v>78</v>
      </c>
      <c r="K33" s="18">
        <v>70555.5</v>
      </c>
      <c r="L33" s="18" t="s">
        <v>127</v>
      </c>
      <c r="M33" s="18">
        <v>5015</v>
      </c>
      <c r="N33" s="18" t="s">
        <v>118</v>
      </c>
      <c r="O33" s="18">
        <v>2</v>
      </c>
      <c r="P33" s="18" t="s">
        <v>123</v>
      </c>
      <c r="Q33" s="18" t="s">
        <v>110</v>
      </c>
      <c r="R33" s="24">
        <f t="shared" ca="1" si="0"/>
        <v>38.298630136986304</v>
      </c>
      <c r="S33" s="24">
        <f t="shared" ca="1" si="1"/>
        <v>6.4109589041095889</v>
      </c>
    </row>
    <row r="34" spans="1:19" x14ac:dyDescent="0.5">
      <c r="A34" s="18">
        <f t="shared" si="2"/>
        <v>1033</v>
      </c>
      <c r="B34" s="18" t="s">
        <v>195</v>
      </c>
      <c r="C34" s="18" t="s">
        <v>90</v>
      </c>
      <c r="D34" s="21">
        <v>30997</v>
      </c>
      <c r="E34" s="18" t="s">
        <v>196</v>
      </c>
      <c r="F34" s="20">
        <v>43774.858738425923</v>
      </c>
      <c r="G34" s="18">
        <v>59998526</v>
      </c>
      <c r="H34" s="18" t="s">
        <v>197</v>
      </c>
      <c r="I34" s="18" t="s">
        <v>98</v>
      </c>
      <c r="J34" s="18" t="s">
        <v>78</v>
      </c>
      <c r="K34" s="18">
        <v>86984.2</v>
      </c>
      <c r="L34" s="18" t="s">
        <v>79</v>
      </c>
      <c r="M34" s="18">
        <v>5018</v>
      </c>
      <c r="N34" s="18" t="s">
        <v>118</v>
      </c>
      <c r="O34" s="18">
        <v>8</v>
      </c>
      <c r="P34" s="18" t="s">
        <v>146</v>
      </c>
      <c r="Q34" s="18" t="s">
        <v>82</v>
      </c>
      <c r="R34" s="24">
        <f t="shared" ca="1" si="0"/>
        <v>41.391780821917806</v>
      </c>
      <c r="S34" s="24">
        <f t="shared" ca="1" si="1"/>
        <v>6.3863013698630136</v>
      </c>
    </row>
    <row r="35" spans="1:19" x14ac:dyDescent="0.5">
      <c r="A35" s="18">
        <f t="shared" si="2"/>
        <v>1034</v>
      </c>
      <c r="B35" s="18" t="s">
        <v>198</v>
      </c>
      <c r="C35" s="18" t="s">
        <v>90</v>
      </c>
      <c r="D35" s="21">
        <v>29145</v>
      </c>
      <c r="E35" s="18" t="s">
        <v>199</v>
      </c>
      <c r="F35" s="20">
        <v>43791.357395833336</v>
      </c>
      <c r="G35" s="18">
        <v>6392748873</v>
      </c>
      <c r="H35" s="18" t="s">
        <v>200</v>
      </c>
      <c r="I35" s="18" t="s">
        <v>77</v>
      </c>
      <c r="J35" s="18" t="s">
        <v>78</v>
      </c>
      <c r="K35" s="18">
        <v>47658.96</v>
      </c>
      <c r="L35" s="18" t="s">
        <v>117</v>
      </c>
      <c r="M35" s="18">
        <v>5014</v>
      </c>
      <c r="N35" s="18" t="s">
        <v>93</v>
      </c>
      <c r="O35" s="18">
        <v>12</v>
      </c>
      <c r="P35" s="18" t="s">
        <v>146</v>
      </c>
      <c r="Q35" s="18" t="s">
        <v>82</v>
      </c>
      <c r="R35" s="24">
        <f t="shared" ca="1" si="0"/>
        <v>46.465753424657535</v>
      </c>
      <c r="S35" s="24">
        <f t="shared" ca="1" si="1"/>
        <v>6.3397260273972602</v>
      </c>
    </row>
    <row r="36" spans="1:19" x14ac:dyDescent="0.5">
      <c r="A36" s="18">
        <f t="shared" si="2"/>
        <v>1035</v>
      </c>
      <c r="B36" s="18" t="s">
        <v>201</v>
      </c>
      <c r="C36" s="18" t="s">
        <v>90</v>
      </c>
      <c r="D36" s="19">
        <v>34434</v>
      </c>
      <c r="E36" s="18" t="s">
        <v>202</v>
      </c>
      <c r="F36" s="20">
        <v>43810.946319444447</v>
      </c>
      <c r="G36" s="18">
        <v>2480886619</v>
      </c>
      <c r="H36" s="18" t="s">
        <v>203</v>
      </c>
      <c r="I36" s="18" t="s">
        <v>86</v>
      </c>
      <c r="J36" s="18" t="s">
        <v>78</v>
      </c>
      <c r="K36" s="18">
        <v>72137.69</v>
      </c>
      <c r="L36" s="18" t="s">
        <v>127</v>
      </c>
      <c r="M36" s="18">
        <v>5025</v>
      </c>
      <c r="N36" s="18" t="s">
        <v>108</v>
      </c>
      <c r="O36" s="18">
        <v>19</v>
      </c>
      <c r="P36" s="18" t="s">
        <v>109</v>
      </c>
      <c r="Q36" s="18" t="s">
        <v>110</v>
      </c>
      <c r="R36" s="24">
        <f t="shared" ca="1" si="0"/>
        <v>31.975342465753425</v>
      </c>
      <c r="S36" s="24">
        <f t="shared" ca="1" si="1"/>
        <v>6.2876712328767121</v>
      </c>
    </row>
    <row r="37" spans="1:19" x14ac:dyDescent="0.5">
      <c r="A37" s="18">
        <f t="shared" si="2"/>
        <v>1036</v>
      </c>
      <c r="B37" s="18" t="s">
        <v>204</v>
      </c>
      <c r="C37" s="18" t="s">
        <v>74</v>
      </c>
      <c r="D37" s="19">
        <v>38223</v>
      </c>
      <c r="E37" s="18" t="s">
        <v>205</v>
      </c>
      <c r="F37" s="20">
        <v>43819.534398148149</v>
      </c>
      <c r="G37" s="18">
        <v>9270154104</v>
      </c>
      <c r="H37" s="18" t="s">
        <v>206</v>
      </c>
      <c r="I37" s="18" t="s">
        <v>86</v>
      </c>
      <c r="J37" s="18" t="s">
        <v>103</v>
      </c>
      <c r="K37" s="18">
        <v>71127.320000000007</v>
      </c>
      <c r="L37" s="18" t="s">
        <v>79</v>
      </c>
      <c r="M37" s="18">
        <v>5011</v>
      </c>
      <c r="N37" s="18" t="s">
        <v>108</v>
      </c>
      <c r="O37" s="18">
        <v>7</v>
      </c>
      <c r="P37" s="18" t="s">
        <v>109</v>
      </c>
      <c r="Q37" s="18" t="s">
        <v>110</v>
      </c>
      <c r="R37" s="24">
        <f t="shared" ca="1" si="0"/>
        <v>21.594520547945205</v>
      </c>
      <c r="S37" s="24">
        <f t="shared" ca="1" si="1"/>
        <v>6.2630136986301368</v>
      </c>
    </row>
    <row r="38" spans="1:19" x14ac:dyDescent="0.5">
      <c r="A38" s="18">
        <f t="shared" si="2"/>
        <v>1037</v>
      </c>
      <c r="B38" s="18" t="s">
        <v>207</v>
      </c>
      <c r="C38" s="18" t="s">
        <v>90</v>
      </c>
      <c r="D38" s="19">
        <v>33686</v>
      </c>
      <c r="E38" s="18" t="s">
        <v>208</v>
      </c>
      <c r="F38" s="20">
        <v>43851.040196759262</v>
      </c>
      <c r="G38" s="18">
        <v>5360566039</v>
      </c>
      <c r="H38" s="18" t="s">
        <v>209</v>
      </c>
      <c r="I38" s="18" t="s">
        <v>77</v>
      </c>
      <c r="J38" s="18" t="s">
        <v>103</v>
      </c>
      <c r="K38" s="18">
        <v>41343.22</v>
      </c>
      <c r="L38" s="18" t="s">
        <v>79</v>
      </c>
      <c r="M38" s="18">
        <v>5034</v>
      </c>
      <c r="N38" s="18" t="s">
        <v>87</v>
      </c>
      <c r="O38" s="18">
        <v>17</v>
      </c>
      <c r="P38" s="18" t="s">
        <v>146</v>
      </c>
      <c r="Q38" s="18" t="s">
        <v>82</v>
      </c>
      <c r="R38" s="24">
        <f t="shared" ca="1" si="0"/>
        <v>34.024657534246572</v>
      </c>
      <c r="S38" s="24">
        <f t="shared" ca="1" si="1"/>
        <v>6.1753424657534248</v>
      </c>
    </row>
    <row r="39" spans="1:19" x14ac:dyDescent="0.5">
      <c r="A39" s="18">
        <f t="shared" si="2"/>
        <v>1038</v>
      </c>
      <c r="B39" s="18" t="s">
        <v>210</v>
      </c>
      <c r="C39" s="18" t="s">
        <v>74</v>
      </c>
      <c r="D39" s="19">
        <v>35816</v>
      </c>
      <c r="E39" s="18" t="s">
        <v>211</v>
      </c>
      <c r="F39" s="20">
        <v>43855.250937500001</v>
      </c>
      <c r="G39" s="18">
        <v>632481111</v>
      </c>
      <c r="H39" s="18" t="s">
        <v>212</v>
      </c>
      <c r="I39" s="18" t="s">
        <v>86</v>
      </c>
      <c r="J39" s="18" t="s">
        <v>78</v>
      </c>
      <c r="K39" s="18">
        <v>92346.32</v>
      </c>
      <c r="L39" s="18" t="s">
        <v>104</v>
      </c>
      <c r="M39" s="18">
        <v>5049</v>
      </c>
      <c r="N39" s="18" t="s">
        <v>108</v>
      </c>
      <c r="O39" s="18">
        <v>17</v>
      </c>
      <c r="P39" s="18" t="s">
        <v>82</v>
      </c>
      <c r="Q39" s="18" t="s">
        <v>82</v>
      </c>
      <c r="R39" s="24">
        <f t="shared" ca="1" si="0"/>
        <v>28.18904109589041</v>
      </c>
      <c r="S39" s="24">
        <f t="shared" ca="1" si="1"/>
        <v>6.1643835616438354</v>
      </c>
    </row>
    <row r="40" spans="1:19" x14ac:dyDescent="0.5">
      <c r="A40" s="18">
        <f t="shared" si="2"/>
        <v>1039</v>
      </c>
      <c r="B40" s="18" t="s">
        <v>213</v>
      </c>
      <c r="C40" s="18" t="s">
        <v>90</v>
      </c>
      <c r="D40" s="21">
        <v>26951</v>
      </c>
      <c r="E40" s="18" t="s">
        <v>214</v>
      </c>
      <c r="F40" s="20">
        <v>43866.087291666663</v>
      </c>
      <c r="G40" s="18">
        <v>3387085165</v>
      </c>
      <c r="H40" s="18" t="s">
        <v>215</v>
      </c>
      <c r="I40" s="18" t="s">
        <v>77</v>
      </c>
      <c r="J40" s="18" t="s">
        <v>78</v>
      </c>
      <c r="K40" s="18">
        <v>95224.99</v>
      </c>
      <c r="L40" s="18" t="s">
        <v>127</v>
      </c>
      <c r="M40" s="18">
        <v>5013</v>
      </c>
      <c r="N40" s="18" t="s">
        <v>87</v>
      </c>
      <c r="O40" s="18">
        <v>2</v>
      </c>
      <c r="P40" s="18" t="s">
        <v>82</v>
      </c>
      <c r="Q40" s="18" t="s">
        <v>82</v>
      </c>
      <c r="R40" s="24">
        <f t="shared" ca="1" si="0"/>
        <v>52.476712328767121</v>
      </c>
      <c r="S40" s="24">
        <f t="shared" ca="1" si="1"/>
        <v>6.1342465753424653</v>
      </c>
    </row>
    <row r="41" spans="1:19" x14ac:dyDescent="0.5">
      <c r="A41" s="18">
        <f t="shared" si="2"/>
        <v>1040</v>
      </c>
      <c r="B41" s="18" t="s">
        <v>216</v>
      </c>
      <c r="C41" s="18" t="s">
        <v>90</v>
      </c>
      <c r="D41" s="19">
        <v>35947</v>
      </c>
      <c r="E41" s="18" t="s">
        <v>217</v>
      </c>
      <c r="F41" s="20">
        <v>43866.087291666663</v>
      </c>
      <c r="G41" s="18">
        <v>6119226520</v>
      </c>
      <c r="H41" s="18" t="s">
        <v>218</v>
      </c>
      <c r="I41" s="18" t="s">
        <v>98</v>
      </c>
      <c r="J41" s="18" t="s">
        <v>103</v>
      </c>
      <c r="K41" s="18">
        <v>149047.93</v>
      </c>
      <c r="L41" s="18" t="s">
        <v>104</v>
      </c>
      <c r="M41" s="18">
        <v>5021</v>
      </c>
      <c r="N41" s="18" t="s">
        <v>87</v>
      </c>
      <c r="O41" s="18">
        <v>12</v>
      </c>
      <c r="P41" s="18" t="s">
        <v>109</v>
      </c>
      <c r="Q41" s="18" t="s">
        <v>110</v>
      </c>
      <c r="R41" s="24">
        <f t="shared" ca="1" si="0"/>
        <v>27.830136986301369</v>
      </c>
      <c r="S41" s="24">
        <f t="shared" ca="1" si="1"/>
        <v>6.1342465753424653</v>
      </c>
    </row>
    <row r="42" spans="1:19" x14ac:dyDescent="0.5">
      <c r="A42" s="18">
        <f t="shared" si="2"/>
        <v>1041</v>
      </c>
      <c r="B42" s="18" t="s">
        <v>219</v>
      </c>
      <c r="C42" s="18" t="s">
        <v>90</v>
      </c>
      <c r="D42" s="19">
        <v>36802</v>
      </c>
      <c r="E42" s="18" t="s">
        <v>220</v>
      </c>
      <c r="F42" s="20">
        <v>43906.529895833337</v>
      </c>
      <c r="G42" s="18">
        <v>2214333193</v>
      </c>
      <c r="H42" s="18" t="s">
        <v>221</v>
      </c>
      <c r="I42" s="18" t="s">
        <v>86</v>
      </c>
      <c r="J42" s="18" t="s">
        <v>78</v>
      </c>
      <c r="K42" s="18">
        <v>39544.800000000003</v>
      </c>
      <c r="L42" s="18" t="s">
        <v>117</v>
      </c>
      <c r="M42" s="18">
        <v>5029</v>
      </c>
      <c r="N42" s="18" t="s">
        <v>80</v>
      </c>
      <c r="O42" s="18">
        <v>18</v>
      </c>
      <c r="P42" s="18" t="s">
        <v>146</v>
      </c>
      <c r="Q42" s="18" t="s">
        <v>82</v>
      </c>
      <c r="R42" s="24">
        <f t="shared" ca="1" si="0"/>
        <v>25.487671232876714</v>
      </c>
      <c r="S42" s="24">
        <f t="shared" ca="1" si="1"/>
        <v>6.0246575342465754</v>
      </c>
    </row>
    <row r="43" spans="1:19" x14ac:dyDescent="0.5">
      <c r="A43" s="18">
        <f t="shared" si="2"/>
        <v>1042</v>
      </c>
      <c r="B43" s="18" t="s">
        <v>222</v>
      </c>
      <c r="C43" s="18" t="s">
        <v>74</v>
      </c>
      <c r="D43" s="19">
        <v>36990</v>
      </c>
      <c r="E43" s="18" t="s">
        <v>223</v>
      </c>
      <c r="F43" s="20">
        <v>43906.529895833337</v>
      </c>
      <c r="G43" s="18">
        <v>3228090700</v>
      </c>
      <c r="H43" s="18" t="s">
        <v>224</v>
      </c>
      <c r="I43" s="18" t="s">
        <v>98</v>
      </c>
      <c r="J43" s="18" t="s">
        <v>78</v>
      </c>
      <c r="K43" s="18">
        <v>38004.46</v>
      </c>
      <c r="L43" s="18" t="s">
        <v>117</v>
      </c>
      <c r="M43" s="18">
        <v>5041</v>
      </c>
      <c r="N43" s="18" t="s">
        <v>108</v>
      </c>
      <c r="O43" s="18">
        <v>3</v>
      </c>
      <c r="P43" s="18" t="s">
        <v>109</v>
      </c>
      <c r="Q43" s="18" t="s">
        <v>110</v>
      </c>
      <c r="R43" s="24">
        <f t="shared" ca="1" si="0"/>
        <v>24.972602739726028</v>
      </c>
      <c r="S43" s="24">
        <f t="shared" ca="1" si="1"/>
        <v>6.0246575342465754</v>
      </c>
    </row>
    <row r="44" spans="1:19" x14ac:dyDescent="0.5">
      <c r="A44" s="18">
        <f t="shared" si="2"/>
        <v>1043</v>
      </c>
      <c r="B44" s="18" t="s">
        <v>225</v>
      </c>
      <c r="C44" s="18" t="s">
        <v>74</v>
      </c>
      <c r="D44" s="21">
        <v>34327</v>
      </c>
      <c r="E44" s="18" t="s">
        <v>226</v>
      </c>
      <c r="F44" s="20">
        <v>43919.345659722225</v>
      </c>
      <c r="G44" s="18">
        <v>2890260377</v>
      </c>
      <c r="H44" s="18" t="s">
        <v>227</v>
      </c>
      <c r="I44" s="18" t="s">
        <v>86</v>
      </c>
      <c r="J44" s="18" t="s">
        <v>103</v>
      </c>
      <c r="K44" s="18">
        <v>142249.1</v>
      </c>
      <c r="L44" s="18" t="s">
        <v>127</v>
      </c>
      <c r="M44" s="18">
        <v>5002</v>
      </c>
      <c r="N44" s="18" t="s">
        <v>80</v>
      </c>
      <c r="O44" s="18">
        <v>14</v>
      </c>
      <c r="P44" s="18" t="s">
        <v>146</v>
      </c>
      <c r="Q44" s="18" t="s">
        <v>82</v>
      </c>
      <c r="R44" s="24">
        <f t="shared" ca="1" si="0"/>
        <v>32.268493150684932</v>
      </c>
      <c r="S44" s="24">
        <f t="shared" ca="1" si="1"/>
        <v>5.9890410958904106</v>
      </c>
    </row>
    <row r="45" spans="1:19" x14ac:dyDescent="0.5">
      <c r="A45" s="18">
        <f t="shared" si="2"/>
        <v>1044</v>
      </c>
      <c r="B45" s="18" t="s">
        <v>228</v>
      </c>
      <c r="C45" s="18" t="s">
        <v>90</v>
      </c>
      <c r="D45" s="19">
        <v>34758</v>
      </c>
      <c r="E45" s="18" t="s">
        <v>229</v>
      </c>
      <c r="F45" s="20">
        <v>43919.345659722225</v>
      </c>
      <c r="G45" s="18">
        <v>1337729005</v>
      </c>
      <c r="H45" s="18" t="s">
        <v>230</v>
      </c>
      <c r="I45" s="18" t="s">
        <v>86</v>
      </c>
      <c r="J45" s="18" t="s">
        <v>103</v>
      </c>
      <c r="K45" s="18">
        <v>104176.26</v>
      </c>
      <c r="L45" s="18" t="s">
        <v>117</v>
      </c>
      <c r="M45" s="18">
        <v>5006</v>
      </c>
      <c r="N45" s="18" t="s">
        <v>108</v>
      </c>
      <c r="O45" s="18">
        <v>8</v>
      </c>
      <c r="P45" s="18" t="s">
        <v>119</v>
      </c>
      <c r="Q45" s="18" t="s">
        <v>110</v>
      </c>
      <c r="R45" s="24">
        <f t="shared" ca="1" si="0"/>
        <v>31.087671232876712</v>
      </c>
      <c r="S45" s="24">
        <f t="shared" ca="1" si="1"/>
        <v>5.9890410958904106</v>
      </c>
    </row>
    <row r="46" spans="1:19" x14ac:dyDescent="0.5">
      <c r="A46" s="18">
        <f t="shared" si="2"/>
        <v>1045</v>
      </c>
      <c r="B46" s="18" t="s">
        <v>231</v>
      </c>
      <c r="C46" s="18" t="s">
        <v>90</v>
      </c>
      <c r="D46" s="21">
        <v>28773</v>
      </c>
      <c r="E46" s="18" t="s">
        <v>232</v>
      </c>
      <c r="F46" s="20">
        <v>43938.335405092592</v>
      </c>
      <c r="G46" s="18">
        <v>4561127546</v>
      </c>
      <c r="H46" s="18" t="s">
        <v>233</v>
      </c>
      <c r="I46" s="18" t="s">
        <v>77</v>
      </c>
      <c r="J46" s="18" t="s">
        <v>78</v>
      </c>
      <c r="K46" s="18">
        <v>99133.49</v>
      </c>
      <c r="L46" s="18" t="s">
        <v>104</v>
      </c>
      <c r="M46" s="18">
        <v>5042</v>
      </c>
      <c r="N46" s="18" t="s">
        <v>108</v>
      </c>
      <c r="O46" s="18">
        <v>6</v>
      </c>
      <c r="P46" s="18" t="s">
        <v>146</v>
      </c>
      <c r="Q46" s="18" t="s">
        <v>82</v>
      </c>
      <c r="R46" s="24">
        <f t="shared" ca="1" si="0"/>
        <v>47.484931506849314</v>
      </c>
      <c r="S46" s="24">
        <f t="shared" ca="1" si="1"/>
        <v>5.9369863013698634</v>
      </c>
    </row>
    <row r="47" spans="1:19" x14ac:dyDescent="0.5">
      <c r="A47" s="18">
        <f t="shared" si="2"/>
        <v>1046</v>
      </c>
      <c r="B47" s="18" t="s">
        <v>234</v>
      </c>
      <c r="C47" s="18" t="s">
        <v>74</v>
      </c>
      <c r="D47" s="21">
        <v>33193</v>
      </c>
      <c r="E47" s="18" t="s">
        <v>235</v>
      </c>
      <c r="F47" s="20">
        <v>43938.335405092592</v>
      </c>
      <c r="G47" s="18">
        <v>2402828635</v>
      </c>
      <c r="H47" s="18" t="s">
        <v>236</v>
      </c>
      <c r="I47" s="18" t="s">
        <v>86</v>
      </c>
      <c r="J47" s="18" t="s">
        <v>103</v>
      </c>
      <c r="K47" s="18">
        <v>79587.02</v>
      </c>
      <c r="L47" s="18" t="s">
        <v>127</v>
      </c>
      <c r="M47" s="18">
        <v>5004</v>
      </c>
      <c r="N47" s="18" t="s">
        <v>118</v>
      </c>
      <c r="O47" s="18">
        <v>8</v>
      </c>
      <c r="P47" s="18" t="s">
        <v>123</v>
      </c>
      <c r="Q47" s="18" t="s">
        <v>110</v>
      </c>
      <c r="R47" s="24">
        <f t="shared" ca="1" si="0"/>
        <v>35.375342465753427</v>
      </c>
      <c r="S47" s="24">
        <f t="shared" ca="1" si="1"/>
        <v>5.9369863013698634</v>
      </c>
    </row>
    <row r="48" spans="1:19" x14ac:dyDescent="0.5">
      <c r="A48" s="18">
        <f t="shared" si="2"/>
        <v>1047</v>
      </c>
      <c r="B48" s="18" t="s">
        <v>237</v>
      </c>
      <c r="C48" s="18" t="s">
        <v>74</v>
      </c>
      <c r="D48" s="19">
        <v>33248</v>
      </c>
      <c r="E48" s="18" t="s">
        <v>238</v>
      </c>
      <c r="F48" s="20">
        <v>43947.078148148146</v>
      </c>
      <c r="G48" s="18">
        <v>9113817065</v>
      </c>
      <c r="H48" s="18" t="s">
        <v>239</v>
      </c>
      <c r="I48" s="18" t="s">
        <v>77</v>
      </c>
      <c r="J48" s="18" t="s">
        <v>103</v>
      </c>
      <c r="K48" s="18">
        <v>53144.88</v>
      </c>
      <c r="L48" s="18" t="s">
        <v>79</v>
      </c>
      <c r="M48" s="18">
        <v>5032</v>
      </c>
      <c r="N48" s="18" t="s">
        <v>80</v>
      </c>
      <c r="O48" s="18">
        <v>17</v>
      </c>
      <c r="P48" s="18" t="s">
        <v>109</v>
      </c>
      <c r="Q48" s="18" t="s">
        <v>110</v>
      </c>
      <c r="R48" s="24">
        <f t="shared" ca="1" si="0"/>
        <v>35.224657534246575</v>
      </c>
      <c r="S48" s="24">
        <f t="shared" ca="1" si="1"/>
        <v>5.912328767123288</v>
      </c>
    </row>
    <row r="49" spans="1:19" x14ac:dyDescent="0.5">
      <c r="A49" s="18">
        <f t="shared" si="2"/>
        <v>1048</v>
      </c>
      <c r="B49" s="18" t="s">
        <v>240</v>
      </c>
      <c r="C49" s="18" t="s">
        <v>90</v>
      </c>
      <c r="D49" s="19">
        <v>28018</v>
      </c>
      <c r="E49" s="18" t="s">
        <v>241</v>
      </c>
      <c r="F49" s="20">
        <v>43947.078148148146</v>
      </c>
      <c r="G49" s="18">
        <v>9068940354</v>
      </c>
      <c r="H49" s="18" t="s">
        <v>242</v>
      </c>
      <c r="I49" s="18" t="s">
        <v>86</v>
      </c>
      <c r="J49" s="18" t="s">
        <v>103</v>
      </c>
      <c r="K49" s="18">
        <v>74887.02</v>
      </c>
      <c r="L49" s="18" t="s">
        <v>104</v>
      </c>
      <c r="M49" s="18">
        <v>5029</v>
      </c>
      <c r="N49" s="18" t="s">
        <v>93</v>
      </c>
      <c r="O49" s="18">
        <v>7</v>
      </c>
      <c r="P49" s="18" t="s">
        <v>123</v>
      </c>
      <c r="Q49" s="18" t="s">
        <v>110</v>
      </c>
      <c r="R49" s="24">
        <f t="shared" ca="1" si="0"/>
        <v>49.553424657534244</v>
      </c>
      <c r="S49" s="24">
        <f t="shared" ca="1" si="1"/>
        <v>5.912328767123288</v>
      </c>
    </row>
    <row r="50" spans="1:19" x14ac:dyDescent="0.5">
      <c r="A50" s="18">
        <f t="shared" si="2"/>
        <v>1049</v>
      </c>
      <c r="B50" s="18" t="s">
        <v>243</v>
      </c>
      <c r="C50" s="18" t="s">
        <v>90</v>
      </c>
      <c r="D50" s="19">
        <v>33653</v>
      </c>
      <c r="E50" s="18" t="s">
        <v>244</v>
      </c>
      <c r="F50" s="20">
        <v>43947.078148148146</v>
      </c>
      <c r="G50" s="18">
        <v>8564454383</v>
      </c>
      <c r="H50" s="18" t="s">
        <v>245</v>
      </c>
      <c r="I50" s="18" t="s">
        <v>98</v>
      </c>
      <c r="J50" s="18" t="s">
        <v>103</v>
      </c>
      <c r="K50" s="18">
        <v>121261.7</v>
      </c>
      <c r="L50" s="18" t="s">
        <v>127</v>
      </c>
      <c r="M50" s="18">
        <v>5030</v>
      </c>
      <c r="N50" s="18" t="s">
        <v>87</v>
      </c>
      <c r="O50" s="18">
        <v>8</v>
      </c>
      <c r="P50" s="18" t="s">
        <v>123</v>
      </c>
      <c r="Q50" s="18" t="s">
        <v>110</v>
      </c>
      <c r="R50" s="24">
        <f t="shared" ca="1" si="0"/>
        <v>34.115068493150687</v>
      </c>
      <c r="S50" s="24">
        <f t="shared" ca="1" si="1"/>
        <v>5.912328767123288</v>
      </c>
    </row>
    <row r="51" spans="1:19" x14ac:dyDescent="0.5">
      <c r="A51" s="18">
        <f t="shared" si="2"/>
        <v>1050</v>
      </c>
      <c r="B51" s="18" t="s">
        <v>246</v>
      </c>
      <c r="C51" s="18" t="s">
        <v>90</v>
      </c>
      <c r="D51" s="19">
        <v>37406</v>
      </c>
      <c r="E51" s="18" t="s">
        <v>247</v>
      </c>
      <c r="F51" s="20">
        <v>43970.086273148147</v>
      </c>
      <c r="G51" s="18">
        <v>4180455423</v>
      </c>
      <c r="H51" s="18" t="s">
        <v>248</v>
      </c>
      <c r="I51" s="18" t="s">
        <v>77</v>
      </c>
      <c r="J51" s="18" t="s">
        <v>78</v>
      </c>
      <c r="K51" s="18">
        <v>42011.24</v>
      </c>
      <c r="L51" s="18" t="s">
        <v>117</v>
      </c>
      <c r="M51" s="18">
        <v>5007</v>
      </c>
      <c r="N51" s="18" t="s">
        <v>108</v>
      </c>
      <c r="O51" s="18">
        <v>5</v>
      </c>
      <c r="P51" s="18" t="s">
        <v>82</v>
      </c>
      <c r="Q51" s="18" t="s">
        <v>82</v>
      </c>
      <c r="R51" s="24">
        <f t="shared" ca="1" si="0"/>
        <v>23.832876712328765</v>
      </c>
      <c r="S51" s="24">
        <f t="shared" ca="1" si="1"/>
        <v>5.8493150684931505</v>
      </c>
    </row>
    <row r="52" spans="1:19" x14ac:dyDescent="0.5">
      <c r="A52" s="18">
        <f t="shared" si="2"/>
        <v>1051</v>
      </c>
      <c r="B52" s="18" t="s">
        <v>249</v>
      </c>
      <c r="C52" s="18" t="s">
        <v>74</v>
      </c>
      <c r="D52" s="19">
        <v>34192</v>
      </c>
      <c r="E52" s="18" t="s">
        <v>250</v>
      </c>
      <c r="F52" s="20">
        <v>43970.086273148147</v>
      </c>
      <c r="G52" s="18">
        <v>8954044954</v>
      </c>
      <c r="H52" s="18" t="s">
        <v>251</v>
      </c>
      <c r="I52" s="18" t="s">
        <v>77</v>
      </c>
      <c r="J52" s="18" t="s">
        <v>103</v>
      </c>
      <c r="K52" s="18">
        <v>80447.509999999995</v>
      </c>
      <c r="L52" s="18" t="s">
        <v>79</v>
      </c>
      <c r="M52" s="18">
        <v>5029</v>
      </c>
      <c r="N52" s="18" t="s">
        <v>118</v>
      </c>
      <c r="O52" s="18">
        <v>11</v>
      </c>
      <c r="P52" s="18" t="s">
        <v>109</v>
      </c>
      <c r="Q52" s="18" t="s">
        <v>110</v>
      </c>
      <c r="R52" s="24">
        <f t="shared" ca="1" si="0"/>
        <v>32.638356164383559</v>
      </c>
      <c r="S52" s="24">
        <f t="shared" ca="1" si="1"/>
        <v>5.8493150684931505</v>
      </c>
    </row>
    <row r="53" spans="1:19" x14ac:dyDescent="0.5">
      <c r="A53" s="18">
        <f t="shared" si="2"/>
        <v>1052</v>
      </c>
      <c r="B53" s="18" t="s">
        <v>252</v>
      </c>
      <c r="C53" s="18" t="s">
        <v>74</v>
      </c>
      <c r="D53" s="19">
        <v>32562</v>
      </c>
      <c r="E53" s="18" t="s">
        <v>253</v>
      </c>
      <c r="F53" s="20">
        <v>43970.086273148147</v>
      </c>
      <c r="G53" s="18">
        <v>7738477265</v>
      </c>
      <c r="H53" s="18" t="s">
        <v>254</v>
      </c>
      <c r="I53" s="18" t="s">
        <v>86</v>
      </c>
      <c r="J53" s="18" t="s">
        <v>103</v>
      </c>
      <c r="K53" s="18">
        <v>90641.63</v>
      </c>
      <c r="L53" s="18" t="s">
        <v>104</v>
      </c>
      <c r="M53" s="18">
        <v>5040</v>
      </c>
      <c r="N53" s="18" t="s">
        <v>80</v>
      </c>
      <c r="O53" s="18">
        <v>18</v>
      </c>
      <c r="P53" s="18" t="s">
        <v>109</v>
      </c>
      <c r="Q53" s="18" t="s">
        <v>110</v>
      </c>
      <c r="R53" s="24">
        <f t="shared" ca="1" si="0"/>
        <v>37.104109589041094</v>
      </c>
      <c r="S53" s="24">
        <f t="shared" ca="1" si="1"/>
        <v>5.8493150684931505</v>
      </c>
    </row>
    <row r="54" spans="1:19" x14ac:dyDescent="0.5">
      <c r="A54" s="18">
        <f t="shared" si="2"/>
        <v>1053</v>
      </c>
      <c r="B54" s="18" t="s">
        <v>255</v>
      </c>
      <c r="C54" s="18" t="s">
        <v>74</v>
      </c>
      <c r="D54" s="19">
        <v>33282</v>
      </c>
      <c r="E54" s="18" t="s">
        <v>256</v>
      </c>
      <c r="F54" s="20">
        <v>43977.819606481484</v>
      </c>
      <c r="G54" s="18">
        <v>8311654072</v>
      </c>
      <c r="H54" s="18" t="s">
        <v>257</v>
      </c>
      <c r="I54" s="18" t="s">
        <v>77</v>
      </c>
      <c r="J54" s="18" t="s">
        <v>78</v>
      </c>
      <c r="K54" s="18">
        <v>97854.43</v>
      </c>
      <c r="L54" s="18" t="s">
        <v>117</v>
      </c>
      <c r="M54" s="18">
        <v>5041</v>
      </c>
      <c r="N54" s="18" t="s">
        <v>118</v>
      </c>
      <c r="O54" s="18">
        <v>15</v>
      </c>
      <c r="P54" s="18" t="s">
        <v>123</v>
      </c>
      <c r="Q54" s="18" t="s">
        <v>110</v>
      </c>
      <c r="R54" s="24">
        <f t="shared" ca="1" si="0"/>
        <v>35.131506849315066</v>
      </c>
      <c r="S54" s="24">
        <f t="shared" ca="1" si="1"/>
        <v>5.8301369863013699</v>
      </c>
    </row>
    <row r="55" spans="1:19" x14ac:dyDescent="0.5">
      <c r="A55" s="18">
        <f t="shared" si="2"/>
        <v>1054</v>
      </c>
      <c r="B55" s="18" t="s">
        <v>258</v>
      </c>
      <c r="C55" s="18" t="s">
        <v>74</v>
      </c>
      <c r="D55" s="19">
        <v>36561</v>
      </c>
      <c r="E55" s="18" t="s">
        <v>259</v>
      </c>
      <c r="F55" s="20">
        <v>43977.819606481484</v>
      </c>
      <c r="G55" s="18">
        <v>8670819727</v>
      </c>
      <c r="H55" s="18" t="s">
        <v>260</v>
      </c>
      <c r="I55" s="18" t="s">
        <v>98</v>
      </c>
      <c r="J55" s="18" t="s">
        <v>103</v>
      </c>
      <c r="K55" s="18">
        <v>32844.300000000003</v>
      </c>
      <c r="L55" s="18" t="s">
        <v>117</v>
      </c>
      <c r="M55" s="18">
        <v>5048</v>
      </c>
      <c r="N55" s="18" t="s">
        <v>93</v>
      </c>
      <c r="O55" s="18">
        <v>9</v>
      </c>
      <c r="P55" s="18" t="s">
        <v>146</v>
      </c>
      <c r="Q55" s="18" t="s">
        <v>82</v>
      </c>
      <c r="R55" s="24">
        <f t="shared" ca="1" si="0"/>
        <v>26.147945205479452</v>
      </c>
      <c r="S55" s="24">
        <f t="shared" ca="1" si="1"/>
        <v>5.8301369863013699</v>
      </c>
    </row>
    <row r="56" spans="1:19" x14ac:dyDescent="0.5">
      <c r="A56" s="18">
        <f t="shared" si="2"/>
        <v>1055</v>
      </c>
      <c r="B56" s="18" t="s">
        <v>261</v>
      </c>
      <c r="C56" s="18" t="s">
        <v>74</v>
      </c>
      <c r="D56" s="19">
        <v>37828</v>
      </c>
      <c r="E56" s="18" t="s">
        <v>262</v>
      </c>
      <c r="F56" s="20">
        <v>43977.819606481484</v>
      </c>
      <c r="G56" s="18">
        <v>9978212843</v>
      </c>
      <c r="H56" s="18" t="s">
        <v>263</v>
      </c>
      <c r="I56" s="18" t="s">
        <v>77</v>
      </c>
      <c r="J56" s="18" t="s">
        <v>103</v>
      </c>
      <c r="K56" s="18">
        <v>111484.11</v>
      </c>
      <c r="L56" s="18" t="s">
        <v>117</v>
      </c>
      <c r="M56" s="18">
        <v>5004</v>
      </c>
      <c r="N56" s="18" t="s">
        <v>108</v>
      </c>
      <c r="O56" s="18">
        <v>6</v>
      </c>
      <c r="P56" s="18" t="s">
        <v>109</v>
      </c>
      <c r="Q56" s="18" t="s">
        <v>110</v>
      </c>
      <c r="R56" s="24">
        <f t="shared" ca="1" si="0"/>
        <v>22.676712328767124</v>
      </c>
      <c r="S56" s="24">
        <f t="shared" ca="1" si="1"/>
        <v>5.8301369863013699</v>
      </c>
    </row>
    <row r="57" spans="1:19" x14ac:dyDescent="0.5">
      <c r="A57" s="18">
        <f t="shared" si="2"/>
        <v>1056</v>
      </c>
      <c r="B57" s="18" t="s">
        <v>264</v>
      </c>
      <c r="C57" s="18" t="s">
        <v>74</v>
      </c>
      <c r="D57" s="19">
        <v>30088</v>
      </c>
      <c r="E57" s="18" t="s">
        <v>265</v>
      </c>
      <c r="F57" s="20">
        <v>44024.005902777775</v>
      </c>
      <c r="G57" s="18">
        <v>9294002836</v>
      </c>
      <c r="H57" s="18" t="s">
        <v>266</v>
      </c>
      <c r="I57" s="18" t="s">
        <v>77</v>
      </c>
      <c r="J57" s="18" t="s">
        <v>78</v>
      </c>
      <c r="K57" s="18">
        <v>63957.35</v>
      </c>
      <c r="L57" s="18" t="s">
        <v>104</v>
      </c>
      <c r="M57" s="18">
        <v>5012</v>
      </c>
      <c r="N57" s="18" t="s">
        <v>87</v>
      </c>
      <c r="O57" s="18">
        <v>4</v>
      </c>
      <c r="P57" s="18" t="s">
        <v>109</v>
      </c>
      <c r="Q57" s="18" t="s">
        <v>110</v>
      </c>
      <c r="R57" s="24">
        <f t="shared" ca="1" si="0"/>
        <v>43.88219178082192</v>
      </c>
      <c r="S57" s="24">
        <f t="shared" ca="1" si="1"/>
        <v>5.7013698630136984</v>
      </c>
    </row>
    <row r="58" spans="1:19" x14ac:dyDescent="0.5">
      <c r="A58" s="18">
        <f t="shared" si="2"/>
        <v>1057</v>
      </c>
      <c r="B58" s="18" t="s">
        <v>267</v>
      </c>
      <c r="C58" s="18" t="s">
        <v>74</v>
      </c>
      <c r="D58" s="19">
        <v>33766</v>
      </c>
      <c r="E58" s="18" t="s">
        <v>268</v>
      </c>
      <c r="F58" s="20">
        <v>44024.005902777775</v>
      </c>
      <c r="G58" s="18">
        <v>5683234076</v>
      </c>
      <c r="H58" s="18" t="s">
        <v>269</v>
      </c>
      <c r="I58" s="18" t="s">
        <v>98</v>
      </c>
      <c r="J58" s="18" t="s">
        <v>78</v>
      </c>
      <c r="K58" s="18">
        <v>113487.39</v>
      </c>
      <c r="L58" s="18" t="s">
        <v>104</v>
      </c>
      <c r="M58" s="18">
        <v>5043</v>
      </c>
      <c r="N58" s="18" t="s">
        <v>93</v>
      </c>
      <c r="O58" s="18">
        <v>17</v>
      </c>
      <c r="P58" s="18" t="s">
        <v>82</v>
      </c>
      <c r="Q58" s="18" t="s">
        <v>82</v>
      </c>
      <c r="R58" s="24">
        <f t="shared" ca="1" si="0"/>
        <v>33.805479452054797</v>
      </c>
      <c r="S58" s="24">
        <f t="shared" ca="1" si="1"/>
        <v>5.7013698630136984</v>
      </c>
    </row>
    <row r="59" spans="1:19" x14ac:dyDescent="0.5">
      <c r="A59" s="18">
        <f t="shared" si="2"/>
        <v>1058</v>
      </c>
      <c r="B59" s="18" t="s">
        <v>270</v>
      </c>
      <c r="C59" s="18" t="s">
        <v>74</v>
      </c>
      <c r="D59" s="19">
        <v>31307</v>
      </c>
      <c r="E59" s="18" t="s">
        <v>271</v>
      </c>
      <c r="F59" s="20">
        <v>44024.005902777775</v>
      </c>
      <c r="G59" s="18">
        <v>3067013037</v>
      </c>
      <c r="H59" s="18" t="s">
        <v>272</v>
      </c>
      <c r="I59" s="18" t="s">
        <v>86</v>
      </c>
      <c r="J59" s="18" t="s">
        <v>103</v>
      </c>
      <c r="K59" s="18">
        <v>62356.88</v>
      </c>
      <c r="L59" s="18" t="s">
        <v>104</v>
      </c>
      <c r="M59" s="18">
        <v>5018</v>
      </c>
      <c r="N59" s="18" t="s">
        <v>93</v>
      </c>
      <c r="O59" s="18">
        <v>9</v>
      </c>
      <c r="P59" s="18" t="s">
        <v>146</v>
      </c>
      <c r="Q59" s="18" t="s">
        <v>82</v>
      </c>
      <c r="R59" s="24">
        <f t="shared" ca="1" si="0"/>
        <v>40.542465753424658</v>
      </c>
      <c r="S59" s="24">
        <f t="shared" ca="1" si="1"/>
        <v>5.7013698630136984</v>
      </c>
    </row>
    <row r="60" spans="1:19" x14ac:dyDescent="0.5">
      <c r="A60" s="18">
        <f t="shared" si="2"/>
        <v>1059</v>
      </c>
      <c r="B60" s="18" t="s">
        <v>273</v>
      </c>
      <c r="C60" s="18" t="s">
        <v>74</v>
      </c>
      <c r="D60" s="19">
        <v>37071</v>
      </c>
      <c r="E60" s="18" t="s">
        <v>274</v>
      </c>
      <c r="F60" s="20">
        <v>44076.29146990741</v>
      </c>
      <c r="G60" s="18">
        <v>6287889453</v>
      </c>
      <c r="H60" s="18" t="s">
        <v>275</v>
      </c>
      <c r="I60" s="18" t="s">
        <v>77</v>
      </c>
      <c r="J60" s="18" t="s">
        <v>78</v>
      </c>
      <c r="K60" s="18">
        <v>40882.18</v>
      </c>
      <c r="L60" s="18" t="s">
        <v>117</v>
      </c>
      <c r="M60" s="18">
        <v>5024</v>
      </c>
      <c r="N60" s="18" t="s">
        <v>80</v>
      </c>
      <c r="O60" s="18">
        <v>5</v>
      </c>
      <c r="P60" s="18" t="s">
        <v>82</v>
      </c>
      <c r="Q60" s="18" t="s">
        <v>82</v>
      </c>
      <c r="R60" s="24">
        <f t="shared" ca="1" si="0"/>
        <v>24.75068493150685</v>
      </c>
      <c r="S60" s="24">
        <f t="shared" ca="1" si="1"/>
        <v>5.558904109589041</v>
      </c>
    </row>
    <row r="61" spans="1:19" x14ac:dyDescent="0.5">
      <c r="A61" s="18">
        <f t="shared" si="2"/>
        <v>1060</v>
      </c>
      <c r="B61" s="18" t="s">
        <v>276</v>
      </c>
      <c r="C61" s="18" t="s">
        <v>90</v>
      </c>
      <c r="D61" s="19">
        <v>29304</v>
      </c>
      <c r="E61" s="18" t="s">
        <v>277</v>
      </c>
      <c r="F61" s="20">
        <v>44076.29146990741</v>
      </c>
      <c r="G61" s="18">
        <v>8859300636</v>
      </c>
      <c r="H61" s="18" t="s">
        <v>278</v>
      </c>
      <c r="I61" s="18" t="s">
        <v>77</v>
      </c>
      <c r="J61" s="18" t="s">
        <v>103</v>
      </c>
      <c r="K61" s="18">
        <v>110156.15</v>
      </c>
      <c r="L61" s="18" t="s">
        <v>104</v>
      </c>
      <c r="M61" s="18">
        <v>5025</v>
      </c>
      <c r="N61" s="18" t="s">
        <v>118</v>
      </c>
      <c r="O61" s="18">
        <v>4</v>
      </c>
      <c r="P61" s="18" t="s">
        <v>146</v>
      </c>
      <c r="Q61" s="18" t="s">
        <v>82</v>
      </c>
      <c r="R61" s="24">
        <f t="shared" ca="1" si="0"/>
        <v>46.030136986301372</v>
      </c>
      <c r="S61" s="24">
        <f t="shared" ca="1" si="1"/>
        <v>5.558904109589041</v>
      </c>
    </row>
    <row r="62" spans="1:19" x14ac:dyDescent="0.5">
      <c r="A62" s="18">
        <f t="shared" si="2"/>
        <v>1061</v>
      </c>
      <c r="B62" s="18" t="s">
        <v>279</v>
      </c>
      <c r="C62" s="18" t="s">
        <v>90</v>
      </c>
      <c r="D62" s="19">
        <v>30331</v>
      </c>
      <c r="E62" s="18" t="s">
        <v>280</v>
      </c>
      <c r="F62" s="20">
        <v>44111.788645833331</v>
      </c>
      <c r="G62" s="18">
        <v>3805186589</v>
      </c>
      <c r="H62" s="18" t="s">
        <v>281</v>
      </c>
      <c r="I62" s="18" t="s">
        <v>86</v>
      </c>
      <c r="J62" s="18" t="s">
        <v>78</v>
      </c>
      <c r="K62" s="18">
        <v>147995.69</v>
      </c>
      <c r="L62" s="18" t="s">
        <v>127</v>
      </c>
      <c r="M62" s="18">
        <v>5037</v>
      </c>
      <c r="N62" s="18" t="s">
        <v>118</v>
      </c>
      <c r="O62" s="18">
        <v>14</v>
      </c>
      <c r="P62" s="18" t="s">
        <v>119</v>
      </c>
      <c r="Q62" s="18" t="s">
        <v>110</v>
      </c>
      <c r="R62" s="24">
        <f t="shared" ca="1" si="0"/>
        <v>43.216438356164382</v>
      </c>
      <c r="S62" s="24">
        <f t="shared" ca="1" si="1"/>
        <v>5.463013698630137</v>
      </c>
    </row>
    <row r="63" spans="1:19" x14ac:dyDescent="0.5">
      <c r="A63" s="18">
        <f t="shared" si="2"/>
        <v>1062</v>
      </c>
      <c r="B63" s="18" t="s">
        <v>282</v>
      </c>
      <c r="C63" s="18" t="s">
        <v>74</v>
      </c>
      <c r="D63" s="19">
        <v>28675</v>
      </c>
      <c r="E63" s="18" t="s">
        <v>283</v>
      </c>
      <c r="F63" s="20">
        <v>44111.788645833331</v>
      </c>
      <c r="G63" s="18">
        <v>9494878048</v>
      </c>
      <c r="H63" s="18" t="s">
        <v>284</v>
      </c>
      <c r="I63" s="18" t="s">
        <v>98</v>
      </c>
      <c r="J63" s="18" t="s">
        <v>103</v>
      </c>
      <c r="K63" s="18">
        <v>32641.53</v>
      </c>
      <c r="L63" s="18" t="s">
        <v>104</v>
      </c>
      <c r="M63" s="18">
        <v>5039</v>
      </c>
      <c r="N63" s="18" t="s">
        <v>80</v>
      </c>
      <c r="O63" s="18">
        <v>21</v>
      </c>
      <c r="P63" s="18" t="s">
        <v>82</v>
      </c>
      <c r="Q63" s="18" t="s">
        <v>82</v>
      </c>
      <c r="R63" s="24">
        <f t="shared" ca="1" si="0"/>
        <v>47.753424657534246</v>
      </c>
      <c r="S63" s="24">
        <f t="shared" ca="1" si="1"/>
        <v>5.463013698630137</v>
      </c>
    </row>
    <row r="64" spans="1:19" x14ac:dyDescent="0.5">
      <c r="A64" s="18">
        <f t="shared" si="2"/>
        <v>1063</v>
      </c>
      <c r="B64" s="18" t="s">
        <v>285</v>
      </c>
      <c r="C64" s="18" t="s">
        <v>90</v>
      </c>
      <c r="D64" s="19">
        <v>36934</v>
      </c>
      <c r="E64" s="18" t="s">
        <v>286</v>
      </c>
      <c r="F64" s="20">
        <v>44123.258067129631</v>
      </c>
      <c r="G64" s="18">
        <v>641797831</v>
      </c>
      <c r="H64" s="18" t="s">
        <v>287</v>
      </c>
      <c r="I64" s="18" t="s">
        <v>98</v>
      </c>
      <c r="J64" s="18" t="s">
        <v>78</v>
      </c>
      <c r="K64" s="18">
        <v>59176.49</v>
      </c>
      <c r="L64" s="18" t="s">
        <v>117</v>
      </c>
      <c r="M64" s="18">
        <v>5034</v>
      </c>
      <c r="N64" s="18" t="s">
        <v>118</v>
      </c>
      <c r="O64" s="18">
        <v>1</v>
      </c>
      <c r="P64" s="18" t="s">
        <v>119</v>
      </c>
      <c r="Q64" s="18" t="s">
        <v>110</v>
      </c>
      <c r="R64" s="24">
        <f t="shared" ca="1" si="0"/>
        <v>25.126027397260273</v>
      </c>
      <c r="S64" s="24">
        <f t="shared" ca="1" si="1"/>
        <v>5.4301369863013695</v>
      </c>
    </row>
    <row r="65" spans="1:19" x14ac:dyDescent="0.5">
      <c r="A65" s="18">
        <f t="shared" si="2"/>
        <v>1064</v>
      </c>
      <c r="B65" s="18" t="s">
        <v>288</v>
      </c>
      <c r="C65" s="18" t="s">
        <v>74</v>
      </c>
      <c r="D65" s="19">
        <v>30452</v>
      </c>
      <c r="E65" s="18" t="s">
        <v>289</v>
      </c>
      <c r="F65" s="20">
        <v>44123.258067129631</v>
      </c>
      <c r="G65" s="18">
        <v>6697604403</v>
      </c>
      <c r="H65" s="18" t="s">
        <v>290</v>
      </c>
      <c r="I65" s="18" t="s">
        <v>77</v>
      </c>
      <c r="J65" s="18" t="s">
        <v>103</v>
      </c>
      <c r="K65" s="18">
        <v>41843.51</v>
      </c>
      <c r="L65" s="18" t="s">
        <v>127</v>
      </c>
      <c r="M65" s="18">
        <v>5043</v>
      </c>
      <c r="N65" s="18" t="s">
        <v>80</v>
      </c>
      <c r="O65" s="18">
        <v>11</v>
      </c>
      <c r="P65" s="18" t="s">
        <v>109</v>
      </c>
      <c r="Q65" s="18" t="s">
        <v>110</v>
      </c>
      <c r="R65" s="24">
        <f t="shared" ca="1" si="0"/>
        <v>42.884931506849313</v>
      </c>
      <c r="S65" s="24">
        <f t="shared" ca="1" si="1"/>
        <v>5.4301369863013695</v>
      </c>
    </row>
    <row r="66" spans="1:19" x14ac:dyDescent="0.5">
      <c r="A66" s="18">
        <f t="shared" si="2"/>
        <v>1065</v>
      </c>
      <c r="B66" s="18" t="s">
        <v>291</v>
      </c>
      <c r="C66" s="18" t="s">
        <v>90</v>
      </c>
      <c r="D66" s="19">
        <v>30220</v>
      </c>
      <c r="E66" s="18" t="s">
        <v>292</v>
      </c>
      <c r="F66" s="20">
        <v>44144.97861111111</v>
      </c>
      <c r="G66" s="18">
        <v>7102480474</v>
      </c>
      <c r="H66" s="18" t="s">
        <v>293</v>
      </c>
      <c r="I66" s="18" t="s">
        <v>86</v>
      </c>
      <c r="J66" s="18" t="s">
        <v>78</v>
      </c>
      <c r="K66" s="18">
        <v>131794.87</v>
      </c>
      <c r="L66" s="18" t="s">
        <v>117</v>
      </c>
      <c r="M66" s="18">
        <v>5027</v>
      </c>
      <c r="N66" s="18" t="s">
        <v>118</v>
      </c>
      <c r="O66" s="18">
        <v>11</v>
      </c>
      <c r="P66" s="18" t="s">
        <v>119</v>
      </c>
      <c r="Q66" s="18" t="s">
        <v>110</v>
      </c>
      <c r="R66" s="24">
        <f t="shared" ca="1" si="0"/>
        <v>43.520547945205479</v>
      </c>
      <c r="S66" s="24">
        <f t="shared" ca="1" si="1"/>
        <v>5.3726027397260276</v>
      </c>
    </row>
    <row r="67" spans="1:19" x14ac:dyDescent="0.5">
      <c r="A67" s="18">
        <f t="shared" si="2"/>
        <v>1066</v>
      </c>
      <c r="B67" s="18" t="s">
        <v>294</v>
      </c>
      <c r="C67" s="18" t="s">
        <v>90</v>
      </c>
      <c r="D67" s="19">
        <v>29055</v>
      </c>
      <c r="E67" s="18" t="s">
        <v>295</v>
      </c>
      <c r="F67" s="20">
        <v>44144.97861111111</v>
      </c>
      <c r="G67" s="18">
        <v>9696264342</v>
      </c>
      <c r="H67" s="18" t="s">
        <v>296</v>
      </c>
      <c r="I67" s="18" t="s">
        <v>98</v>
      </c>
      <c r="J67" s="18" t="s">
        <v>103</v>
      </c>
      <c r="K67" s="18">
        <v>131045.16</v>
      </c>
      <c r="L67" s="18" t="s">
        <v>104</v>
      </c>
      <c r="M67" s="18">
        <v>5034</v>
      </c>
      <c r="N67" s="18" t="s">
        <v>80</v>
      </c>
      <c r="O67" s="18">
        <v>11</v>
      </c>
      <c r="P67" s="18" t="s">
        <v>109</v>
      </c>
      <c r="Q67" s="18" t="s">
        <v>110</v>
      </c>
      <c r="R67" s="24">
        <f t="shared" ref="R67:R130" ca="1" si="3">_xlfn.DAYS(TODAY(),D67)/365</f>
        <v>46.712328767123289</v>
      </c>
      <c r="S67" s="24">
        <f t="shared" ref="S67:S130" ca="1" si="4">_xlfn.DAYS(TODAY(),F67)/365</f>
        <v>5.3726027397260276</v>
      </c>
    </row>
    <row r="68" spans="1:19" x14ac:dyDescent="0.5">
      <c r="A68" s="18">
        <f t="shared" ref="A68:A131" si="5">A67+1</f>
        <v>1067</v>
      </c>
      <c r="B68" s="18" t="s">
        <v>297</v>
      </c>
      <c r="C68" s="18" t="s">
        <v>74</v>
      </c>
      <c r="D68" s="19">
        <v>32025</v>
      </c>
      <c r="E68" s="18" t="s">
        <v>298</v>
      </c>
      <c r="F68" s="20">
        <v>44150.395474537036</v>
      </c>
      <c r="G68" s="18">
        <v>2160950526</v>
      </c>
      <c r="H68" s="18" t="s">
        <v>299</v>
      </c>
      <c r="I68" s="18" t="s">
        <v>98</v>
      </c>
      <c r="J68" s="18" t="s">
        <v>78</v>
      </c>
      <c r="K68" s="18">
        <v>119437.87</v>
      </c>
      <c r="L68" s="18" t="s">
        <v>79</v>
      </c>
      <c r="M68" s="18">
        <v>5029</v>
      </c>
      <c r="N68" s="18" t="s">
        <v>80</v>
      </c>
      <c r="O68" s="18">
        <v>15</v>
      </c>
      <c r="P68" s="18" t="s">
        <v>109</v>
      </c>
      <c r="Q68" s="18" t="s">
        <v>110</v>
      </c>
      <c r="R68" s="24">
        <f t="shared" ca="1" si="3"/>
        <v>38.575342465753423</v>
      </c>
      <c r="S68" s="24">
        <f t="shared" ca="1" si="4"/>
        <v>5.3561643835616435</v>
      </c>
    </row>
    <row r="69" spans="1:19" x14ac:dyDescent="0.5">
      <c r="A69" s="18">
        <f t="shared" si="5"/>
        <v>1068</v>
      </c>
      <c r="B69" s="18" t="s">
        <v>300</v>
      </c>
      <c r="C69" s="18" t="s">
        <v>74</v>
      </c>
      <c r="D69" s="19">
        <v>32626</v>
      </c>
      <c r="E69" s="18" t="s">
        <v>301</v>
      </c>
      <c r="F69" s="20">
        <v>44150.395474537036</v>
      </c>
      <c r="G69" s="18">
        <v>6458803859</v>
      </c>
      <c r="H69" s="18" t="s">
        <v>302</v>
      </c>
      <c r="I69" s="18" t="s">
        <v>86</v>
      </c>
      <c r="J69" s="18" t="s">
        <v>78</v>
      </c>
      <c r="K69" s="18">
        <v>109914.23</v>
      </c>
      <c r="L69" s="18" t="s">
        <v>117</v>
      </c>
      <c r="M69" s="18">
        <v>5038</v>
      </c>
      <c r="N69" s="18" t="s">
        <v>118</v>
      </c>
      <c r="O69" s="18">
        <v>7</v>
      </c>
      <c r="P69" s="18" t="s">
        <v>123</v>
      </c>
      <c r="Q69" s="18" t="s">
        <v>110</v>
      </c>
      <c r="R69" s="24">
        <f t="shared" ca="1" si="3"/>
        <v>36.92876712328767</v>
      </c>
      <c r="S69" s="24">
        <f t="shared" ca="1" si="4"/>
        <v>5.3561643835616435</v>
      </c>
    </row>
    <row r="70" spans="1:19" x14ac:dyDescent="0.5">
      <c r="A70" s="18">
        <f t="shared" si="5"/>
        <v>1069</v>
      </c>
      <c r="B70" s="18" t="s">
        <v>303</v>
      </c>
      <c r="C70" s="18" t="s">
        <v>90</v>
      </c>
      <c r="D70" s="19">
        <v>35493</v>
      </c>
      <c r="E70" s="18" t="s">
        <v>304</v>
      </c>
      <c r="F70" s="20">
        <v>44159.442812499998</v>
      </c>
      <c r="G70" s="18">
        <v>3184352503</v>
      </c>
      <c r="H70" s="18" t="s">
        <v>305</v>
      </c>
      <c r="I70" s="18" t="s">
        <v>98</v>
      </c>
      <c r="J70" s="18" t="s">
        <v>103</v>
      </c>
      <c r="K70" s="18">
        <v>123330.79</v>
      </c>
      <c r="L70" s="18" t="s">
        <v>117</v>
      </c>
      <c r="M70" s="18">
        <v>5021</v>
      </c>
      <c r="N70" s="18" t="s">
        <v>87</v>
      </c>
      <c r="O70" s="18">
        <v>1</v>
      </c>
      <c r="P70" s="18" t="s">
        <v>146</v>
      </c>
      <c r="Q70" s="18" t="s">
        <v>82</v>
      </c>
      <c r="R70" s="24">
        <f t="shared" ca="1" si="3"/>
        <v>29.073972602739726</v>
      </c>
      <c r="S70" s="24">
        <f t="shared" ca="1" si="4"/>
        <v>5.3315068493150681</v>
      </c>
    </row>
    <row r="71" spans="1:19" x14ac:dyDescent="0.5">
      <c r="A71" s="18">
        <f t="shared" si="5"/>
        <v>1070</v>
      </c>
      <c r="B71" s="18" t="s">
        <v>306</v>
      </c>
      <c r="C71" s="18" t="s">
        <v>74</v>
      </c>
      <c r="D71" s="19">
        <v>31952</v>
      </c>
      <c r="E71" s="18" t="s">
        <v>307</v>
      </c>
      <c r="F71" s="20">
        <v>44271.06559027778</v>
      </c>
      <c r="G71" s="18">
        <v>8268084824</v>
      </c>
      <c r="H71" s="18" t="s">
        <v>308</v>
      </c>
      <c r="I71" s="18" t="s">
        <v>77</v>
      </c>
      <c r="J71" s="18" t="s">
        <v>103</v>
      </c>
      <c r="K71" s="18">
        <v>78497.759999999995</v>
      </c>
      <c r="L71" s="18" t="s">
        <v>117</v>
      </c>
      <c r="M71" s="18">
        <v>5024</v>
      </c>
      <c r="N71" s="18" t="s">
        <v>118</v>
      </c>
      <c r="O71" s="18">
        <v>21</v>
      </c>
      <c r="P71" s="18" t="s">
        <v>146</v>
      </c>
      <c r="Q71" s="18" t="s">
        <v>82</v>
      </c>
      <c r="R71" s="24">
        <f t="shared" ca="1" si="3"/>
        <v>38.775342465753425</v>
      </c>
      <c r="S71" s="24">
        <f t="shared" ca="1" si="4"/>
        <v>5.0246575342465754</v>
      </c>
    </row>
    <row r="72" spans="1:19" x14ac:dyDescent="0.5">
      <c r="A72" s="18">
        <f t="shared" si="5"/>
        <v>1071</v>
      </c>
      <c r="B72" s="18" t="s">
        <v>309</v>
      </c>
      <c r="C72" s="18" t="s">
        <v>90</v>
      </c>
      <c r="D72" s="19">
        <v>28158</v>
      </c>
      <c r="E72" s="18" t="s">
        <v>310</v>
      </c>
      <c r="F72" s="20">
        <v>44308.957997685182</v>
      </c>
      <c r="G72" s="18">
        <v>6927065864</v>
      </c>
      <c r="H72" s="18" t="s">
        <v>311</v>
      </c>
      <c r="I72" s="18" t="s">
        <v>98</v>
      </c>
      <c r="J72" s="18" t="s">
        <v>78</v>
      </c>
      <c r="K72" s="18">
        <v>39867.65</v>
      </c>
      <c r="L72" s="18" t="s">
        <v>127</v>
      </c>
      <c r="M72" s="18">
        <v>5050</v>
      </c>
      <c r="N72" s="18" t="s">
        <v>118</v>
      </c>
      <c r="O72" s="18">
        <v>16</v>
      </c>
      <c r="P72" s="18" t="s">
        <v>109</v>
      </c>
      <c r="Q72" s="18" t="s">
        <v>110</v>
      </c>
      <c r="R72" s="24">
        <f t="shared" ca="1" si="3"/>
        <v>49.169863013698631</v>
      </c>
      <c r="S72" s="24">
        <f t="shared" ca="1" si="4"/>
        <v>4.9232876712328766</v>
      </c>
    </row>
    <row r="73" spans="1:19" x14ac:dyDescent="0.5">
      <c r="A73" s="18">
        <f t="shared" si="5"/>
        <v>1072</v>
      </c>
      <c r="B73" s="18" t="s">
        <v>312</v>
      </c>
      <c r="C73" s="18" t="s">
        <v>90</v>
      </c>
      <c r="D73" s="19">
        <v>34336</v>
      </c>
      <c r="E73" s="18" t="s">
        <v>313</v>
      </c>
      <c r="F73" s="20">
        <v>44322.981388888889</v>
      </c>
      <c r="G73" s="18">
        <v>1053786787</v>
      </c>
      <c r="H73" s="18" t="s">
        <v>314</v>
      </c>
      <c r="I73" s="18" t="s">
        <v>98</v>
      </c>
      <c r="J73" s="18" t="s">
        <v>103</v>
      </c>
      <c r="K73" s="18">
        <v>119923.76</v>
      </c>
      <c r="L73" s="18" t="s">
        <v>127</v>
      </c>
      <c r="M73" s="18">
        <v>5011</v>
      </c>
      <c r="N73" s="18" t="s">
        <v>118</v>
      </c>
      <c r="O73" s="18">
        <v>11</v>
      </c>
      <c r="P73" s="18" t="s">
        <v>119</v>
      </c>
      <c r="Q73" s="18" t="s">
        <v>110</v>
      </c>
      <c r="R73" s="24">
        <f t="shared" ca="1" si="3"/>
        <v>32.243835616438353</v>
      </c>
      <c r="S73" s="24">
        <f t="shared" ca="1" si="4"/>
        <v>4.8849315068493153</v>
      </c>
    </row>
    <row r="74" spans="1:19" x14ac:dyDescent="0.5">
      <c r="A74" s="18">
        <f t="shared" si="5"/>
        <v>1073</v>
      </c>
      <c r="B74" s="18" t="s">
        <v>315</v>
      </c>
      <c r="C74" s="18" t="s">
        <v>74</v>
      </c>
      <c r="D74" s="19">
        <v>35164</v>
      </c>
      <c r="E74" s="18" t="s">
        <v>316</v>
      </c>
      <c r="F74" s="20">
        <v>44331.588923611111</v>
      </c>
      <c r="G74" s="18">
        <v>4022522064</v>
      </c>
      <c r="H74" s="18" t="s">
        <v>317</v>
      </c>
      <c r="I74" s="18" t="s">
        <v>77</v>
      </c>
      <c r="J74" s="18" t="s">
        <v>78</v>
      </c>
      <c r="K74" s="18">
        <v>45851.64</v>
      </c>
      <c r="L74" s="18" t="s">
        <v>127</v>
      </c>
      <c r="M74" s="18">
        <v>5010</v>
      </c>
      <c r="N74" s="18" t="s">
        <v>87</v>
      </c>
      <c r="O74" s="18">
        <v>21</v>
      </c>
      <c r="P74" s="18" t="s">
        <v>82</v>
      </c>
      <c r="Q74" s="18" t="s">
        <v>82</v>
      </c>
      <c r="R74" s="24">
        <f t="shared" ca="1" si="3"/>
        <v>29.975342465753425</v>
      </c>
      <c r="S74" s="24">
        <f t="shared" ca="1" si="4"/>
        <v>4.86027397260274</v>
      </c>
    </row>
    <row r="75" spans="1:19" x14ac:dyDescent="0.5">
      <c r="A75" s="18">
        <f t="shared" si="5"/>
        <v>1074</v>
      </c>
      <c r="B75" s="18" t="s">
        <v>318</v>
      </c>
      <c r="C75" s="18" t="s">
        <v>74</v>
      </c>
      <c r="D75" s="19">
        <v>34874</v>
      </c>
      <c r="E75" s="18" t="s">
        <v>319</v>
      </c>
      <c r="F75" s="20">
        <v>44346.89271990741</v>
      </c>
      <c r="G75" s="18">
        <v>5526514205</v>
      </c>
      <c r="H75" s="18" t="s">
        <v>320</v>
      </c>
      <c r="I75" s="18" t="s">
        <v>77</v>
      </c>
      <c r="J75" s="18" t="s">
        <v>78</v>
      </c>
      <c r="K75" s="18">
        <v>115697.92</v>
      </c>
      <c r="L75" s="18" t="s">
        <v>127</v>
      </c>
      <c r="M75" s="18">
        <v>5048</v>
      </c>
      <c r="N75" s="18" t="s">
        <v>118</v>
      </c>
      <c r="O75" s="18">
        <v>14</v>
      </c>
      <c r="P75" s="18" t="s">
        <v>119</v>
      </c>
      <c r="Q75" s="18" t="s">
        <v>110</v>
      </c>
      <c r="R75" s="24">
        <f t="shared" ca="1" si="3"/>
        <v>30.769863013698629</v>
      </c>
      <c r="S75" s="24">
        <f t="shared" ca="1" si="4"/>
        <v>4.8191780821917805</v>
      </c>
    </row>
    <row r="76" spans="1:19" x14ac:dyDescent="0.5">
      <c r="A76" s="18">
        <f t="shared" si="5"/>
        <v>1075</v>
      </c>
      <c r="B76" s="18" t="s">
        <v>321</v>
      </c>
      <c r="C76" s="18" t="s">
        <v>74</v>
      </c>
      <c r="D76" s="19">
        <v>36361</v>
      </c>
      <c r="E76" s="18" t="s">
        <v>322</v>
      </c>
      <c r="F76" s="20">
        <v>44416.885925925926</v>
      </c>
      <c r="G76" s="18">
        <v>9817714011</v>
      </c>
      <c r="H76" s="18" t="s">
        <v>323</v>
      </c>
      <c r="I76" s="18" t="s">
        <v>77</v>
      </c>
      <c r="J76" s="18" t="s">
        <v>78</v>
      </c>
      <c r="K76" s="18">
        <v>35346.129999999997</v>
      </c>
      <c r="L76" s="18" t="s">
        <v>117</v>
      </c>
      <c r="M76" s="18">
        <v>5046</v>
      </c>
      <c r="N76" s="18" t="s">
        <v>108</v>
      </c>
      <c r="O76" s="18">
        <v>16</v>
      </c>
      <c r="P76" s="18" t="s">
        <v>123</v>
      </c>
      <c r="Q76" s="18" t="s">
        <v>110</v>
      </c>
      <c r="R76" s="24">
        <f t="shared" ca="1" si="3"/>
        <v>26.695890410958903</v>
      </c>
      <c r="S76" s="24">
        <f t="shared" ca="1" si="4"/>
        <v>4.6273972602739724</v>
      </c>
    </row>
    <row r="77" spans="1:19" x14ac:dyDescent="0.5">
      <c r="A77" s="18">
        <f t="shared" si="5"/>
        <v>1076</v>
      </c>
      <c r="B77" s="18" t="s">
        <v>324</v>
      </c>
      <c r="C77" s="18" t="s">
        <v>90</v>
      </c>
      <c r="D77" s="19">
        <v>31828</v>
      </c>
      <c r="E77" s="18" t="s">
        <v>325</v>
      </c>
      <c r="F77" s="20">
        <v>44461.325011574074</v>
      </c>
      <c r="G77" s="18">
        <v>3596034020</v>
      </c>
      <c r="H77" s="18" t="s">
        <v>326</v>
      </c>
      <c r="I77" s="18" t="s">
        <v>77</v>
      </c>
      <c r="J77" s="18" t="s">
        <v>103</v>
      </c>
      <c r="K77" s="18">
        <v>131837.65</v>
      </c>
      <c r="L77" s="18" t="s">
        <v>117</v>
      </c>
      <c r="M77" s="18">
        <v>5045</v>
      </c>
      <c r="N77" s="18" t="s">
        <v>80</v>
      </c>
      <c r="O77" s="18">
        <v>20</v>
      </c>
      <c r="P77" s="18" t="s">
        <v>146</v>
      </c>
      <c r="Q77" s="18" t="s">
        <v>82</v>
      </c>
      <c r="R77" s="24">
        <f t="shared" ca="1" si="3"/>
        <v>39.115068493150687</v>
      </c>
      <c r="S77" s="24">
        <f t="shared" ca="1" si="4"/>
        <v>4.5041095890410956</v>
      </c>
    </row>
    <row r="78" spans="1:19" x14ac:dyDescent="0.5">
      <c r="A78" s="18">
        <f t="shared" si="5"/>
        <v>1077</v>
      </c>
      <c r="B78" s="18" t="s">
        <v>327</v>
      </c>
      <c r="C78" s="18" t="s">
        <v>90</v>
      </c>
      <c r="D78" s="21">
        <v>33892</v>
      </c>
      <c r="E78" s="18" t="s">
        <v>328</v>
      </c>
      <c r="F78" s="20">
        <v>44503.316874999997</v>
      </c>
      <c r="G78" s="18">
        <v>2931972857</v>
      </c>
      <c r="H78" s="18" t="s">
        <v>329</v>
      </c>
      <c r="I78" s="18" t="s">
        <v>98</v>
      </c>
      <c r="J78" s="18" t="s">
        <v>78</v>
      </c>
      <c r="K78" s="18">
        <v>74381.78</v>
      </c>
      <c r="L78" s="18" t="s">
        <v>104</v>
      </c>
      <c r="M78" s="18">
        <v>5018</v>
      </c>
      <c r="N78" s="18" t="s">
        <v>93</v>
      </c>
      <c r="O78" s="18">
        <v>2</v>
      </c>
      <c r="P78" s="18" t="s">
        <v>82</v>
      </c>
      <c r="Q78" s="18" t="s">
        <v>82</v>
      </c>
      <c r="R78" s="24">
        <f t="shared" ca="1" si="3"/>
        <v>33.460273972602742</v>
      </c>
      <c r="S78" s="24">
        <f t="shared" ca="1" si="4"/>
        <v>4.3890410958904109</v>
      </c>
    </row>
    <row r="79" spans="1:19" x14ac:dyDescent="0.5">
      <c r="A79" s="18">
        <f t="shared" si="5"/>
        <v>1078</v>
      </c>
      <c r="B79" s="18" t="s">
        <v>330</v>
      </c>
      <c r="C79" s="18" t="s">
        <v>90</v>
      </c>
      <c r="D79" s="21">
        <v>37246</v>
      </c>
      <c r="E79" s="18" t="s">
        <v>331</v>
      </c>
      <c r="F79" s="20">
        <v>44512.530578703707</v>
      </c>
      <c r="G79" s="18">
        <v>4977302524</v>
      </c>
      <c r="H79" s="18" t="s">
        <v>332</v>
      </c>
      <c r="I79" s="18" t="s">
        <v>77</v>
      </c>
      <c r="J79" s="18" t="s">
        <v>103</v>
      </c>
      <c r="K79" s="18">
        <v>75908.740000000005</v>
      </c>
      <c r="L79" s="18" t="s">
        <v>127</v>
      </c>
      <c r="M79" s="18">
        <v>5007</v>
      </c>
      <c r="N79" s="18" t="s">
        <v>108</v>
      </c>
      <c r="O79" s="18">
        <v>17</v>
      </c>
      <c r="P79" s="18" t="s">
        <v>123</v>
      </c>
      <c r="Q79" s="18" t="s">
        <v>110</v>
      </c>
      <c r="R79" s="24">
        <f t="shared" ca="1" si="3"/>
        <v>24.271232876712329</v>
      </c>
      <c r="S79" s="24">
        <f t="shared" ca="1" si="4"/>
        <v>4.3643835616438356</v>
      </c>
    </row>
    <row r="80" spans="1:19" x14ac:dyDescent="0.5">
      <c r="A80" s="18">
        <f t="shared" si="5"/>
        <v>1079</v>
      </c>
      <c r="B80" s="18" t="s">
        <v>333</v>
      </c>
      <c r="C80" s="18" t="s">
        <v>90</v>
      </c>
      <c r="D80" s="19">
        <v>36466</v>
      </c>
      <c r="E80" s="18" t="s">
        <v>334</v>
      </c>
      <c r="F80" s="20">
        <v>44512.530578703707</v>
      </c>
      <c r="G80" s="18">
        <v>2330827444</v>
      </c>
      <c r="H80" s="18" t="s">
        <v>335</v>
      </c>
      <c r="I80" s="18" t="s">
        <v>86</v>
      </c>
      <c r="J80" s="18" t="s">
        <v>103</v>
      </c>
      <c r="K80" s="18">
        <v>87940.56</v>
      </c>
      <c r="L80" s="18" t="s">
        <v>127</v>
      </c>
      <c r="M80" s="18">
        <v>5025</v>
      </c>
      <c r="N80" s="18" t="s">
        <v>87</v>
      </c>
      <c r="O80" s="18">
        <v>18</v>
      </c>
      <c r="P80" s="18" t="s">
        <v>119</v>
      </c>
      <c r="Q80" s="18" t="s">
        <v>110</v>
      </c>
      <c r="R80" s="24">
        <f t="shared" ca="1" si="3"/>
        <v>26.408219178082192</v>
      </c>
      <c r="S80" s="24">
        <f t="shared" ca="1" si="4"/>
        <v>4.3643835616438356</v>
      </c>
    </row>
    <row r="81" spans="1:19" x14ac:dyDescent="0.5">
      <c r="A81" s="18">
        <f t="shared" si="5"/>
        <v>1080</v>
      </c>
      <c r="B81" s="18" t="s">
        <v>336</v>
      </c>
      <c r="C81" s="18" t="s">
        <v>74</v>
      </c>
      <c r="D81" s="19">
        <v>28257</v>
      </c>
      <c r="E81" s="18" t="s">
        <v>337</v>
      </c>
      <c r="F81" s="20">
        <v>44572.644432870373</v>
      </c>
      <c r="G81" s="18">
        <v>239682987</v>
      </c>
      <c r="H81" s="18" t="s">
        <v>338</v>
      </c>
      <c r="I81" s="18" t="s">
        <v>98</v>
      </c>
      <c r="J81" s="18" t="s">
        <v>78</v>
      </c>
      <c r="K81" s="18">
        <v>109971.54</v>
      </c>
      <c r="L81" s="18" t="s">
        <v>127</v>
      </c>
      <c r="M81" s="18">
        <v>5024</v>
      </c>
      <c r="N81" s="18" t="s">
        <v>87</v>
      </c>
      <c r="O81" s="18">
        <v>6</v>
      </c>
      <c r="P81" s="18" t="s">
        <v>82</v>
      </c>
      <c r="Q81" s="18" t="s">
        <v>82</v>
      </c>
      <c r="R81" s="24">
        <f t="shared" ca="1" si="3"/>
        <v>48.898630136986299</v>
      </c>
      <c r="S81" s="24">
        <f t="shared" ca="1" si="4"/>
        <v>4.2</v>
      </c>
    </row>
    <row r="82" spans="1:19" x14ac:dyDescent="0.5">
      <c r="A82" s="18">
        <f t="shared" si="5"/>
        <v>1081</v>
      </c>
      <c r="B82" s="18" t="s">
        <v>339</v>
      </c>
      <c r="C82" s="18" t="s">
        <v>90</v>
      </c>
      <c r="D82" s="19">
        <v>35690</v>
      </c>
      <c r="E82" s="18" t="s">
        <v>340</v>
      </c>
      <c r="F82" s="20">
        <v>44572.644432870373</v>
      </c>
      <c r="G82" s="18">
        <v>2914822869</v>
      </c>
      <c r="H82" s="18" t="s">
        <v>341</v>
      </c>
      <c r="I82" s="18" t="s">
        <v>98</v>
      </c>
      <c r="J82" s="18" t="s">
        <v>103</v>
      </c>
      <c r="K82" s="18">
        <v>84876.24</v>
      </c>
      <c r="L82" s="18" t="s">
        <v>104</v>
      </c>
      <c r="M82" s="18">
        <v>5036</v>
      </c>
      <c r="N82" s="18" t="s">
        <v>87</v>
      </c>
      <c r="O82" s="18">
        <v>9</v>
      </c>
      <c r="P82" s="18" t="s">
        <v>123</v>
      </c>
      <c r="Q82" s="18" t="s">
        <v>110</v>
      </c>
      <c r="R82" s="24">
        <f t="shared" ca="1" si="3"/>
        <v>28.534246575342465</v>
      </c>
      <c r="S82" s="24">
        <f t="shared" ca="1" si="4"/>
        <v>4.2</v>
      </c>
    </row>
    <row r="83" spans="1:19" x14ac:dyDescent="0.5">
      <c r="A83" s="18">
        <f t="shared" si="5"/>
        <v>1082</v>
      </c>
      <c r="B83" s="18" t="s">
        <v>342</v>
      </c>
      <c r="C83" s="18" t="s">
        <v>90</v>
      </c>
      <c r="D83" s="19">
        <v>37509</v>
      </c>
      <c r="E83" s="18" t="s">
        <v>343</v>
      </c>
      <c r="F83" s="20">
        <v>44589.874027777776</v>
      </c>
      <c r="G83" s="18">
        <v>6302338110</v>
      </c>
      <c r="H83" s="18" t="s">
        <v>344</v>
      </c>
      <c r="I83" s="18" t="s">
        <v>77</v>
      </c>
      <c r="J83" s="18" t="s">
        <v>78</v>
      </c>
      <c r="K83" s="18">
        <v>103695.65</v>
      </c>
      <c r="L83" s="18" t="s">
        <v>117</v>
      </c>
      <c r="M83" s="18">
        <v>5050</v>
      </c>
      <c r="N83" s="18" t="s">
        <v>93</v>
      </c>
      <c r="O83" s="18">
        <v>1</v>
      </c>
      <c r="P83" s="18" t="s">
        <v>119</v>
      </c>
      <c r="Q83" s="18" t="s">
        <v>110</v>
      </c>
      <c r="R83" s="24">
        <f t="shared" ca="1" si="3"/>
        <v>23.550684931506851</v>
      </c>
      <c r="S83" s="24">
        <f t="shared" ca="1" si="4"/>
        <v>4.1534246575342468</v>
      </c>
    </row>
    <row r="84" spans="1:19" x14ac:dyDescent="0.5">
      <c r="A84" s="18">
        <f t="shared" si="5"/>
        <v>1083</v>
      </c>
      <c r="B84" s="18" t="s">
        <v>345</v>
      </c>
      <c r="C84" s="18" t="s">
        <v>74</v>
      </c>
      <c r="D84" s="21">
        <v>34687</v>
      </c>
      <c r="E84" s="18" t="s">
        <v>346</v>
      </c>
      <c r="F84" s="20">
        <v>44589.874027777776</v>
      </c>
      <c r="G84" s="18">
        <v>1963872857</v>
      </c>
      <c r="H84" s="18" t="s">
        <v>347</v>
      </c>
      <c r="I84" s="18" t="s">
        <v>86</v>
      </c>
      <c r="J84" s="18" t="s">
        <v>103</v>
      </c>
      <c r="K84" s="18">
        <v>35292.769999999997</v>
      </c>
      <c r="L84" s="18" t="s">
        <v>127</v>
      </c>
      <c r="M84" s="18">
        <v>5019</v>
      </c>
      <c r="N84" s="18" t="s">
        <v>93</v>
      </c>
      <c r="O84" s="18">
        <v>3</v>
      </c>
      <c r="P84" s="18" t="s">
        <v>146</v>
      </c>
      <c r="Q84" s="18" t="s">
        <v>82</v>
      </c>
      <c r="R84" s="24">
        <f t="shared" ca="1" si="3"/>
        <v>31.282191780821918</v>
      </c>
      <c r="S84" s="24">
        <f t="shared" ca="1" si="4"/>
        <v>4.1534246575342468</v>
      </c>
    </row>
    <row r="85" spans="1:19" x14ac:dyDescent="0.5">
      <c r="A85" s="18">
        <f t="shared" si="5"/>
        <v>1084</v>
      </c>
      <c r="B85" s="18" t="s">
        <v>348</v>
      </c>
      <c r="C85" s="18" t="s">
        <v>74</v>
      </c>
      <c r="D85" s="19">
        <v>37759</v>
      </c>
      <c r="E85" s="18" t="s">
        <v>349</v>
      </c>
      <c r="F85" s="20">
        <v>44589.874027777776</v>
      </c>
      <c r="G85" s="18">
        <v>9508499668</v>
      </c>
      <c r="H85" s="18" t="s">
        <v>350</v>
      </c>
      <c r="I85" s="18" t="s">
        <v>98</v>
      </c>
      <c r="J85" s="18" t="s">
        <v>103</v>
      </c>
      <c r="K85" s="18">
        <v>30019.200000000001</v>
      </c>
      <c r="L85" s="18" t="s">
        <v>117</v>
      </c>
      <c r="M85" s="18">
        <v>5008</v>
      </c>
      <c r="N85" s="18" t="s">
        <v>93</v>
      </c>
      <c r="O85" s="18">
        <v>14</v>
      </c>
      <c r="P85" s="18" t="s">
        <v>109</v>
      </c>
      <c r="Q85" s="18" t="s">
        <v>110</v>
      </c>
      <c r="R85" s="24">
        <f t="shared" ca="1" si="3"/>
        <v>22.865753424657534</v>
      </c>
      <c r="S85" s="24">
        <f t="shared" ca="1" si="4"/>
        <v>4.1534246575342468</v>
      </c>
    </row>
    <row r="86" spans="1:19" x14ac:dyDescent="0.5">
      <c r="A86" s="18">
        <f t="shared" si="5"/>
        <v>1085</v>
      </c>
      <c r="B86" s="18" t="s">
        <v>351</v>
      </c>
      <c r="C86" s="18" t="s">
        <v>90</v>
      </c>
      <c r="D86" s="19">
        <v>38369</v>
      </c>
      <c r="E86" s="18" t="s">
        <v>352</v>
      </c>
      <c r="F86" s="20">
        <v>44589.874027777776</v>
      </c>
      <c r="G86" s="18">
        <v>8592104380</v>
      </c>
      <c r="H86" s="18" t="s">
        <v>353</v>
      </c>
      <c r="I86" s="18" t="s">
        <v>86</v>
      </c>
      <c r="J86" s="18" t="s">
        <v>103</v>
      </c>
      <c r="K86" s="18">
        <v>78252.3</v>
      </c>
      <c r="L86" s="18" t="s">
        <v>117</v>
      </c>
      <c r="M86" s="18">
        <v>5013</v>
      </c>
      <c r="N86" s="18" t="s">
        <v>108</v>
      </c>
      <c r="O86" s="18">
        <v>1</v>
      </c>
      <c r="P86" s="18" t="s">
        <v>123</v>
      </c>
      <c r="Q86" s="18" t="s">
        <v>110</v>
      </c>
      <c r="R86" s="24">
        <f t="shared" ca="1" si="3"/>
        <v>21.194520547945206</v>
      </c>
      <c r="S86" s="24">
        <f t="shared" ca="1" si="4"/>
        <v>4.1534246575342468</v>
      </c>
    </row>
    <row r="87" spans="1:19" x14ac:dyDescent="0.5">
      <c r="A87" s="18">
        <f t="shared" si="5"/>
        <v>1086</v>
      </c>
      <c r="B87" s="18" t="s">
        <v>354</v>
      </c>
      <c r="C87" s="18" t="s">
        <v>74</v>
      </c>
      <c r="D87" s="21">
        <v>29577</v>
      </c>
      <c r="E87" s="18" t="s">
        <v>355</v>
      </c>
      <c r="F87" s="20">
        <v>44590.198877314811</v>
      </c>
      <c r="G87" s="18">
        <v>4522272825</v>
      </c>
      <c r="H87" s="18" t="s">
        <v>356</v>
      </c>
      <c r="I87" s="18" t="s">
        <v>98</v>
      </c>
      <c r="J87" s="18" t="s">
        <v>103</v>
      </c>
      <c r="K87" s="18">
        <v>86482.55</v>
      </c>
      <c r="L87" s="18" t="s">
        <v>104</v>
      </c>
      <c r="M87" s="18">
        <v>5003</v>
      </c>
      <c r="N87" s="18" t="s">
        <v>87</v>
      </c>
      <c r="O87" s="18">
        <v>8</v>
      </c>
      <c r="P87" s="18" t="s">
        <v>123</v>
      </c>
      <c r="Q87" s="18" t="s">
        <v>110</v>
      </c>
      <c r="R87" s="24">
        <f t="shared" ca="1" si="3"/>
        <v>45.282191780821918</v>
      </c>
      <c r="S87" s="24">
        <f t="shared" ca="1" si="4"/>
        <v>4.1506849315068495</v>
      </c>
    </row>
    <row r="88" spans="1:19" x14ac:dyDescent="0.5">
      <c r="A88" s="18">
        <f t="shared" si="5"/>
        <v>1087</v>
      </c>
      <c r="B88" s="18" t="s">
        <v>357</v>
      </c>
      <c r="C88" s="18" t="s">
        <v>90</v>
      </c>
      <c r="D88" s="19">
        <v>28522</v>
      </c>
      <c r="E88" s="18" t="s">
        <v>358</v>
      </c>
      <c r="F88" s="20">
        <v>44590.198877314811</v>
      </c>
      <c r="G88" s="18">
        <v>1174555155</v>
      </c>
      <c r="H88" s="18" t="s">
        <v>359</v>
      </c>
      <c r="I88" s="18" t="s">
        <v>98</v>
      </c>
      <c r="J88" s="18" t="s">
        <v>103</v>
      </c>
      <c r="K88" s="18">
        <v>90372.75</v>
      </c>
      <c r="L88" s="18" t="s">
        <v>79</v>
      </c>
      <c r="M88" s="18">
        <v>5001</v>
      </c>
      <c r="N88" s="18" t="s">
        <v>118</v>
      </c>
      <c r="O88" s="18">
        <v>6</v>
      </c>
      <c r="P88" s="18" t="s">
        <v>82</v>
      </c>
      <c r="Q88" s="18" t="s">
        <v>82</v>
      </c>
      <c r="R88" s="24">
        <f t="shared" ca="1" si="3"/>
        <v>48.172602739726024</v>
      </c>
      <c r="S88" s="24">
        <f t="shared" ca="1" si="4"/>
        <v>4.1506849315068495</v>
      </c>
    </row>
    <row r="89" spans="1:19" x14ac:dyDescent="0.5">
      <c r="A89" s="18">
        <f t="shared" si="5"/>
        <v>1088</v>
      </c>
      <c r="B89" s="18" t="s">
        <v>360</v>
      </c>
      <c r="C89" s="18" t="s">
        <v>74</v>
      </c>
      <c r="D89" s="19">
        <v>34108</v>
      </c>
      <c r="E89" s="18" t="s">
        <v>361</v>
      </c>
      <c r="F89" s="20">
        <v>44590.198877314811</v>
      </c>
      <c r="G89" s="18">
        <v>8530880468</v>
      </c>
      <c r="H89" s="18" t="s">
        <v>362</v>
      </c>
      <c r="I89" s="18" t="s">
        <v>98</v>
      </c>
      <c r="J89" s="18" t="s">
        <v>103</v>
      </c>
      <c r="K89" s="18">
        <v>93584.11</v>
      </c>
      <c r="L89" s="18" t="s">
        <v>127</v>
      </c>
      <c r="M89" s="18">
        <v>5048</v>
      </c>
      <c r="N89" s="18" t="s">
        <v>118</v>
      </c>
      <c r="O89" s="18">
        <v>3</v>
      </c>
      <c r="P89" s="18" t="s">
        <v>123</v>
      </c>
      <c r="Q89" s="18" t="s">
        <v>110</v>
      </c>
      <c r="R89" s="24">
        <f t="shared" ca="1" si="3"/>
        <v>32.868493150684934</v>
      </c>
      <c r="S89" s="24">
        <f t="shared" ca="1" si="4"/>
        <v>4.1506849315068495</v>
      </c>
    </row>
    <row r="90" spans="1:19" x14ac:dyDescent="0.5">
      <c r="A90" s="18">
        <f t="shared" si="5"/>
        <v>1089</v>
      </c>
      <c r="B90" s="18" t="s">
        <v>363</v>
      </c>
      <c r="C90" s="18" t="s">
        <v>74</v>
      </c>
      <c r="D90" s="19">
        <v>37385</v>
      </c>
      <c r="E90" s="18" t="s">
        <v>364</v>
      </c>
      <c r="F90" s="20">
        <v>44590.198877314811</v>
      </c>
      <c r="G90" s="18">
        <v>9876481448</v>
      </c>
      <c r="H90" s="18" t="s">
        <v>365</v>
      </c>
      <c r="I90" s="18" t="s">
        <v>86</v>
      </c>
      <c r="J90" s="18" t="s">
        <v>103</v>
      </c>
      <c r="K90" s="18">
        <v>120954.21</v>
      </c>
      <c r="L90" s="18" t="s">
        <v>117</v>
      </c>
      <c r="M90" s="18">
        <v>5050</v>
      </c>
      <c r="N90" s="18" t="s">
        <v>118</v>
      </c>
      <c r="O90" s="18">
        <v>14</v>
      </c>
      <c r="P90" s="18" t="s">
        <v>123</v>
      </c>
      <c r="Q90" s="18" t="s">
        <v>110</v>
      </c>
      <c r="R90" s="24">
        <f t="shared" ca="1" si="3"/>
        <v>23.890410958904109</v>
      </c>
      <c r="S90" s="24">
        <f t="shared" ca="1" si="4"/>
        <v>4.1506849315068495</v>
      </c>
    </row>
    <row r="91" spans="1:19" x14ac:dyDescent="0.5">
      <c r="A91" s="18">
        <f t="shared" si="5"/>
        <v>1090</v>
      </c>
      <c r="B91" s="18" t="s">
        <v>366</v>
      </c>
      <c r="C91" s="18" t="s">
        <v>74</v>
      </c>
      <c r="D91" s="19">
        <v>36985</v>
      </c>
      <c r="E91" s="18" t="s">
        <v>367</v>
      </c>
      <c r="F91" s="20">
        <v>44709.904756944445</v>
      </c>
      <c r="G91" s="18">
        <v>2945566477</v>
      </c>
      <c r="H91" s="18" t="s">
        <v>368</v>
      </c>
      <c r="I91" s="18" t="s">
        <v>77</v>
      </c>
      <c r="J91" s="18" t="s">
        <v>78</v>
      </c>
      <c r="K91" s="18">
        <v>145374.84</v>
      </c>
      <c r="L91" s="18" t="s">
        <v>127</v>
      </c>
      <c r="M91" s="18">
        <v>5031</v>
      </c>
      <c r="N91" s="18" t="s">
        <v>87</v>
      </c>
      <c r="O91" s="18">
        <v>21</v>
      </c>
      <c r="P91" s="18" t="s">
        <v>82</v>
      </c>
      <c r="Q91" s="18" t="s">
        <v>82</v>
      </c>
      <c r="R91" s="24">
        <f t="shared" ca="1" si="3"/>
        <v>24.986301369863014</v>
      </c>
      <c r="S91" s="24">
        <f t="shared" ca="1" si="4"/>
        <v>3.8246575342465752</v>
      </c>
    </row>
    <row r="92" spans="1:19" x14ac:dyDescent="0.5">
      <c r="A92" s="18">
        <f t="shared" si="5"/>
        <v>1091</v>
      </c>
      <c r="B92" s="18" t="s">
        <v>369</v>
      </c>
      <c r="C92" s="18" t="s">
        <v>74</v>
      </c>
      <c r="D92" s="19">
        <v>37161</v>
      </c>
      <c r="E92" s="18" t="s">
        <v>370</v>
      </c>
      <c r="F92" s="20">
        <v>44709.904756944445</v>
      </c>
      <c r="G92" s="18">
        <v>9991109287</v>
      </c>
      <c r="H92" s="18" t="s">
        <v>371</v>
      </c>
      <c r="I92" s="18" t="s">
        <v>77</v>
      </c>
      <c r="J92" s="18" t="s">
        <v>78</v>
      </c>
      <c r="K92" s="18">
        <v>39900.959999999999</v>
      </c>
      <c r="L92" s="18" t="s">
        <v>104</v>
      </c>
      <c r="M92" s="18">
        <v>5004</v>
      </c>
      <c r="N92" s="18" t="s">
        <v>108</v>
      </c>
      <c r="O92" s="18">
        <v>17</v>
      </c>
      <c r="P92" s="18" t="s">
        <v>123</v>
      </c>
      <c r="Q92" s="18" t="s">
        <v>110</v>
      </c>
      <c r="R92" s="24">
        <f t="shared" ca="1" si="3"/>
        <v>24.504109589041096</v>
      </c>
      <c r="S92" s="24">
        <f t="shared" ca="1" si="4"/>
        <v>3.8246575342465752</v>
      </c>
    </row>
    <row r="93" spans="1:19" x14ac:dyDescent="0.5">
      <c r="A93" s="18">
        <f t="shared" si="5"/>
        <v>1092</v>
      </c>
      <c r="B93" s="18" t="s">
        <v>372</v>
      </c>
      <c r="C93" s="18" t="s">
        <v>90</v>
      </c>
      <c r="D93" s="21">
        <v>32442</v>
      </c>
      <c r="E93" s="18" t="s">
        <v>373</v>
      </c>
      <c r="F93" s="20">
        <v>44709.904756944445</v>
      </c>
      <c r="G93" s="18">
        <v>9783077164</v>
      </c>
      <c r="H93" s="18" t="s">
        <v>374</v>
      </c>
      <c r="I93" s="18" t="s">
        <v>77</v>
      </c>
      <c r="J93" s="18" t="s">
        <v>103</v>
      </c>
      <c r="K93" s="18">
        <v>35872.910000000003</v>
      </c>
      <c r="L93" s="18" t="s">
        <v>79</v>
      </c>
      <c r="M93" s="18">
        <v>5036</v>
      </c>
      <c r="N93" s="18" t="s">
        <v>87</v>
      </c>
      <c r="O93" s="18">
        <v>15</v>
      </c>
      <c r="P93" s="18" t="s">
        <v>119</v>
      </c>
      <c r="Q93" s="18" t="s">
        <v>110</v>
      </c>
      <c r="R93" s="24">
        <f t="shared" ca="1" si="3"/>
        <v>37.43287671232877</v>
      </c>
      <c r="S93" s="24">
        <f t="shared" ca="1" si="4"/>
        <v>3.8246575342465752</v>
      </c>
    </row>
    <row r="94" spans="1:19" x14ac:dyDescent="0.5">
      <c r="A94" s="18">
        <f t="shared" si="5"/>
        <v>1093</v>
      </c>
      <c r="B94" s="18" t="s">
        <v>375</v>
      </c>
      <c r="C94" s="18" t="s">
        <v>74</v>
      </c>
      <c r="D94" s="19">
        <v>31210</v>
      </c>
      <c r="E94" s="18" t="s">
        <v>376</v>
      </c>
      <c r="F94" s="20">
        <v>44709.904756944445</v>
      </c>
      <c r="G94" s="18">
        <v>3895455241</v>
      </c>
      <c r="H94" s="18" t="s">
        <v>377</v>
      </c>
      <c r="I94" s="18" t="s">
        <v>86</v>
      </c>
      <c r="J94" s="18" t="s">
        <v>103</v>
      </c>
      <c r="K94" s="18">
        <v>83372.7</v>
      </c>
      <c r="L94" s="18" t="s">
        <v>79</v>
      </c>
      <c r="M94" s="18">
        <v>5015</v>
      </c>
      <c r="N94" s="18" t="s">
        <v>108</v>
      </c>
      <c r="O94" s="18">
        <v>13</v>
      </c>
      <c r="P94" s="18" t="s">
        <v>123</v>
      </c>
      <c r="Q94" s="18" t="s">
        <v>110</v>
      </c>
      <c r="R94" s="24">
        <f t="shared" ca="1" si="3"/>
        <v>40.80821917808219</v>
      </c>
      <c r="S94" s="24">
        <f t="shared" ca="1" si="4"/>
        <v>3.8246575342465752</v>
      </c>
    </row>
    <row r="95" spans="1:19" x14ac:dyDescent="0.5">
      <c r="A95" s="18">
        <f t="shared" si="5"/>
        <v>1094</v>
      </c>
      <c r="B95" s="18" t="s">
        <v>378</v>
      </c>
      <c r="C95" s="18" t="s">
        <v>90</v>
      </c>
      <c r="D95" s="19">
        <v>32926</v>
      </c>
      <c r="E95" s="18" t="s">
        <v>379</v>
      </c>
      <c r="F95" s="20">
        <v>44717.716539351852</v>
      </c>
      <c r="G95" s="18">
        <v>5122367588</v>
      </c>
      <c r="H95" s="18" t="s">
        <v>380</v>
      </c>
      <c r="I95" s="18" t="s">
        <v>86</v>
      </c>
      <c r="J95" s="18" t="s">
        <v>78</v>
      </c>
      <c r="K95" s="18">
        <v>143978.76999999999</v>
      </c>
      <c r="L95" s="18" t="s">
        <v>79</v>
      </c>
      <c r="M95" s="18">
        <v>5045</v>
      </c>
      <c r="N95" s="18" t="s">
        <v>93</v>
      </c>
      <c r="O95" s="18">
        <v>15</v>
      </c>
      <c r="P95" s="18" t="s">
        <v>146</v>
      </c>
      <c r="Q95" s="18" t="s">
        <v>82</v>
      </c>
      <c r="R95" s="24">
        <f t="shared" ca="1" si="3"/>
        <v>36.106849315068494</v>
      </c>
      <c r="S95" s="24">
        <f t="shared" ca="1" si="4"/>
        <v>3.8027397260273972</v>
      </c>
    </row>
    <row r="96" spans="1:19" x14ac:dyDescent="0.5">
      <c r="A96" s="18">
        <f t="shared" si="5"/>
        <v>1095</v>
      </c>
      <c r="B96" s="18" t="s">
        <v>381</v>
      </c>
      <c r="C96" s="18" t="s">
        <v>74</v>
      </c>
      <c r="D96" s="19">
        <v>29806</v>
      </c>
      <c r="E96" s="18" t="s">
        <v>382</v>
      </c>
      <c r="F96" s="20">
        <v>44717.716539351852</v>
      </c>
      <c r="G96" s="18">
        <v>9592084006</v>
      </c>
      <c r="H96" s="18" t="s">
        <v>383</v>
      </c>
      <c r="I96" s="18" t="s">
        <v>98</v>
      </c>
      <c r="J96" s="18" t="s">
        <v>78</v>
      </c>
      <c r="K96" s="18">
        <v>115608.59</v>
      </c>
      <c r="L96" s="18" t="s">
        <v>79</v>
      </c>
      <c r="M96" s="18">
        <v>5007</v>
      </c>
      <c r="N96" s="18" t="s">
        <v>87</v>
      </c>
      <c r="O96" s="18">
        <v>10</v>
      </c>
      <c r="P96" s="18" t="s">
        <v>82</v>
      </c>
      <c r="Q96" s="18" t="s">
        <v>82</v>
      </c>
      <c r="R96" s="24">
        <f t="shared" ca="1" si="3"/>
        <v>44.654794520547945</v>
      </c>
      <c r="S96" s="24">
        <f t="shared" ca="1" si="4"/>
        <v>3.8027397260273972</v>
      </c>
    </row>
    <row r="97" spans="1:19" x14ac:dyDescent="0.5">
      <c r="A97" s="18">
        <f t="shared" si="5"/>
        <v>1096</v>
      </c>
      <c r="B97" s="18" t="s">
        <v>384</v>
      </c>
      <c r="C97" s="18" t="s">
        <v>90</v>
      </c>
      <c r="D97" s="19">
        <v>27504</v>
      </c>
      <c r="E97" s="18" t="s">
        <v>385</v>
      </c>
      <c r="F97" s="20">
        <v>44717.716539351852</v>
      </c>
      <c r="G97" s="18">
        <v>6887922397</v>
      </c>
      <c r="H97" s="18" t="s">
        <v>386</v>
      </c>
      <c r="I97" s="18" t="s">
        <v>86</v>
      </c>
      <c r="J97" s="18" t="s">
        <v>78</v>
      </c>
      <c r="K97" s="18">
        <v>92249.47</v>
      </c>
      <c r="L97" s="18" t="s">
        <v>117</v>
      </c>
      <c r="M97" s="18">
        <v>5027</v>
      </c>
      <c r="N97" s="18" t="s">
        <v>108</v>
      </c>
      <c r="O97" s="18">
        <v>19</v>
      </c>
      <c r="P97" s="18" t="s">
        <v>119</v>
      </c>
      <c r="Q97" s="18" t="s">
        <v>110</v>
      </c>
      <c r="R97" s="24">
        <f t="shared" ca="1" si="3"/>
        <v>50.961643835616435</v>
      </c>
      <c r="S97" s="24">
        <f t="shared" ca="1" si="4"/>
        <v>3.8027397260273972</v>
      </c>
    </row>
    <row r="98" spans="1:19" x14ac:dyDescent="0.5">
      <c r="A98" s="18">
        <f t="shared" si="5"/>
        <v>1097</v>
      </c>
      <c r="B98" s="18" t="s">
        <v>387</v>
      </c>
      <c r="C98" s="18" t="s">
        <v>90</v>
      </c>
      <c r="D98" s="19">
        <v>35095</v>
      </c>
      <c r="E98" s="18" t="s">
        <v>388</v>
      </c>
      <c r="F98" s="20">
        <v>44717.716539351852</v>
      </c>
      <c r="G98" s="18">
        <v>6012119412</v>
      </c>
      <c r="H98" s="18" t="s">
        <v>389</v>
      </c>
      <c r="I98" s="18" t="s">
        <v>77</v>
      </c>
      <c r="J98" s="18" t="s">
        <v>103</v>
      </c>
      <c r="K98" s="18">
        <v>112499</v>
      </c>
      <c r="L98" s="18" t="s">
        <v>79</v>
      </c>
      <c r="M98" s="18">
        <v>5048</v>
      </c>
      <c r="N98" s="18" t="s">
        <v>80</v>
      </c>
      <c r="O98" s="18">
        <v>18</v>
      </c>
      <c r="P98" s="18" t="s">
        <v>109</v>
      </c>
      <c r="Q98" s="18" t="s">
        <v>110</v>
      </c>
      <c r="R98" s="24">
        <f t="shared" ca="1" si="3"/>
        <v>30.164383561643834</v>
      </c>
      <c r="S98" s="24">
        <f t="shared" ca="1" si="4"/>
        <v>3.8027397260273972</v>
      </c>
    </row>
    <row r="99" spans="1:19" x14ac:dyDescent="0.5">
      <c r="A99" s="18">
        <f t="shared" si="5"/>
        <v>1098</v>
      </c>
      <c r="B99" s="18" t="s">
        <v>390</v>
      </c>
      <c r="C99" s="18" t="s">
        <v>90</v>
      </c>
      <c r="D99" s="19">
        <v>38415</v>
      </c>
      <c r="E99" s="18" t="s">
        <v>391</v>
      </c>
      <c r="F99" s="20">
        <v>44722.098912037036</v>
      </c>
      <c r="G99" s="18">
        <v>7809013008</v>
      </c>
      <c r="H99" s="18" t="s">
        <v>392</v>
      </c>
      <c r="I99" s="18" t="s">
        <v>86</v>
      </c>
      <c r="J99" s="18" t="s">
        <v>78</v>
      </c>
      <c r="K99" s="18">
        <v>31062.97</v>
      </c>
      <c r="L99" s="18" t="s">
        <v>79</v>
      </c>
      <c r="M99" s="18">
        <v>5030</v>
      </c>
      <c r="N99" s="18" t="s">
        <v>93</v>
      </c>
      <c r="O99" s="18">
        <v>18</v>
      </c>
      <c r="P99" s="18" t="s">
        <v>82</v>
      </c>
      <c r="Q99" s="18" t="s">
        <v>82</v>
      </c>
      <c r="R99" s="24">
        <f t="shared" ca="1" si="3"/>
        <v>21.068493150684933</v>
      </c>
      <c r="S99" s="24">
        <f t="shared" ca="1" si="4"/>
        <v>3.7890410958904108</v>
      </c>
    </row>
    <row r="100" spans="1:19" x14ac:dyDescent="0.5">
      <c r="A100" s="18">
        <f t="shared" si="5"/>
        <v>1099</v>
      </c>
      <c r="B100" s="18" t="s">
        <v>393</v>
      </c>
      <c r="C100" s="18" t="s">
        <v>74</v>
      </c>
      <c r="D100" s="19">
        <v>27850</v>
      </c>
      <c r="E100" s="18" t="s">
        <v>394</v>
      </c>
      <c r="F100" s="20">
        <v>44722.098912037036</v>
      </c>
      <c r="G100" s="18">
        <v>8373769862</v>
      </c>
      <c r="H100" s="18" t="s">
        <v>395</v>
      </c>
      <c r="I100" s="18" t="s">
        <v>77</v>
      </c>
      <c r="J100" s="18" t="s">
        <v>78</v>
      </c>
      <c r="K100" s="18">
        <v>148382.82999999999</v>
      </c>
      <c r="L100" s="18" t="s">
        <v>104</v>
      </c>
      <c r="M100" s="18">
        <v>5027</v>
      </c>
      <c r="N100" s="18" t="s">
        <v>118</v>
      </c>
      <c r="O100" s="18">
        <v>19</v>
      </c>
      <c r="P100" s="18" t="s">
        <v>82</v>
      </c>
      <c r="Q100" s="18" t="s">
        <v>82</v>
      </c>
      <c r="R100" s="24">
        <f t="shared" ca="1" si="3"/>
        <v>50.013698630136986</v>
      </c>
      <c r="S100" s="24">
        <f t="shared" ca="1" si="4"/>
        <v>3.7890410958904108</v>
      </c>
    </row>
    <row r="101" spans="1:19" x14ac:dyDescent="0.5">
      <c r="A101" s="18">
        <f t="shared" si="5"/>
        <v>1100</v>
      </c>
      <c r="B101" s="18" t="s">
        <v>396</v>
      </c>
      <c r="C101" s="18" t="s">
        <v>90</v>
      </c>
      <c r="D101" s="19">
        <v>32024</v>
      </c>
      <c r="E101" s="18" t="s">
        <v>397</v>
      </c>
      <c r="F101" s="20">
        <v>44722.098912037036</v>
      </c>
      <c r="G101" s="18">
        <v>8714622395</v>
      </c>
      <c r="H101" s="18" t="s">
        <v>398</v>
      </c>
      <c r="I101" s="18" t="s">
        <v>98</v>
      </c>
      <c r="J101" s="18" t="s">
        <v>78</v>
      </c>
      <c r="K101" s="18">
        <v>117878.47</v>
      </c>
      <c r="L101" s="18" t="s">
        <v>79</v>
      </c>
      <c r="M101" s="18">
        <v>5026</v>
      </c>
      <c r="N101" s="18" t="s">
        <v>108</v>
      </c>
      <c r="O101" s="18">
        <v>8</v>
      </c>
      <c r="P101" s="18" t="s">
        <v>146</v>
      </c>
      <c r="Q101" s="18" t="s">
        <v>82</v>
      </c>
      <c r="R101" s="24">
        <f t="shared" ca="1" si="3"/>
        <v>38.578082191780823</v>
      </c>
      <c r="S101" s="24">
        <f t="shared" ca="1" si="4"/>
        <v>3.7890410958904108</v>
      </c>
    </row>
    <row r="102" spans="1:19" x14ac:dyDescent="0.5">
      <c r="A102" s="18">
        <f t="shared" si="5"/>
        <v>1101</v>
      </c>
      <c r="B102" s="18" t="s">
        <v>399</v>
      </c>
      <c r="C102" s="18" t="s">
        <v>90</v>
      </c>
      <c r="D102" s="19">
        <v>38358</v>
      </c>
      <c r="E102" s="18" t="s">
        <v>400</v>
      </c>
      <c r="F102" s="20">
        <v>44722.098912037036</v>
      </c>
      <c r="G102" s="18">
        <v>591330919</v>
      </c>
      <c r="H102" s="18" t="s">
        <v>401</v>
      </c>
      <c r="I102" s="18" t="s">
        <v>98</v>
      </c>
      <c r="J102" s="18" t="s">
        <v>103</v>
      </c>
      <c r="K102" s="18">
        <v>130777.51</v>
      </c>
      <c r="L102" s="18" t="s">
        <v>117</v>
      </c>
      <c r="M102" s="18">
        <v>5010</v>
      </c>
      <c r="N102" s="18" t="s">
        <v>118</v>
      </c>
      <c r="O102" s="18">
        <v>10</v>
      </c>
      <c r="P102" s="18" t="s">
        <v>146</v>
      </c>
      <c r="Q102" s="18" t="s">
        <v>82</v>
      </c>
      <c r="R102" s="24">
        <f t="shared" ca="1" si="3"/>
        <v>21.224657534246575</v>
      </c>
      <c r="S102" s="24">
        <f t="shared" ca="1" si="4"/>
        <v>3.7890410958904108</v>
      </c>
    </row>
    <row r="103" spans="1:19" x14ac:dyDescent="0.5">
      <c r="A103" s="18">
        <f t="shared" si="5"/>
        <v>1102</v>
      </c>
      <c r="B103" s="18" t="s">
        <v>402</v>
      </c>
      <c r="C103" s="18" t="s">
        <v>74</v>
      </c>
      <c r="D103" s="21">
        <v>31034</v>
      </c>
      <c r="E103" s="18" t="s">
        <v>403</v>
      </c>
      <c r="F103" s="20">
        <v>44722.098912037036</v>
      </c>
      <c r="G103" s="18">
        <v>2486970214</v>
      </c>
      <c r="H103" s="18" t="s">
        <v>404</v>
      </c>
      <c r="I103" s="18" t="s">
        <v>86</v>
      </c>
      <c r="J103" s="18" t="s">
        <v>103</v>
      </c>
      <c r="K103" s="18">
        <v>107672.52</v>
      </c>
      <c r="L103" s="18" t="s">
        <v>79</v>
      </c>
      <c r="M103" s="18">
        <v>5048</v>
      </c>
      <c r="N103" s="18" t="s">
        <v>87</v>
      </c>
      <c r="O103" s="18">
        <v>3</v>
      </c>
      <c r="P103" s="18" t="s">
        <v>123</v>
      </c>
      <c r="Q103" s="18" t="s">
        <v>110</v>
      </c>
      <c r="R103" s="24">
        <f t="shared" ca="1" si="3"/>
        <v>41.290410958904111</v>
      </c>
      <c r="S103" s="24">
        <f t="shared" ca="1" si="4"/>
        <v>3.7890410958904108</v>
      </c>
    </row>
    <row r="104" spans="1:19" x14ac:dyDescent="0.5">
      <c r="A104" s="18">
        <f t="shared" si="5"/>
        <v>1103</v>
      </c>
      <c r="B104" s="18" t="s">
        <v>405</v>
      </c>
      <c r="C104" s="18" t="s">
        <v>90</v>
      </c>
      <c r="D104" s="19">
        <v>27640</v>
      </c>
      <c r="E104" s="18" t="s">
        <v>406</v>
      </c>
      <c r="F104" s="20">
        <v>44722.098912037036</v>
      </c>
      <c r="G104" s="18">
        <v>4026412999</v>
      </c>
      <c r="H104" s="18" t="s">
        <v>407</v>
      </c>
      <c r="I104" s="18" t="s">
        <v>77</v>
      </c>
      <c r="J104" s="18" t="s">
        <v>103</v>
      </c>
      <c r="K104" s="18">
        <v>122276.07</v>
      </c>
      <c r="L104" s="18" t="s">
        <v>79</v>
      </c>
      <c r="M104" s="18">
        <v>5013</v>
      </c>
      <c r="N104" s="18" t="s">
        <v>108</v>
      </c>
      <c r="O104" s="18">
        <v>11</v>
      </c>
      <c r="P104" s="18" t="s">
        <v>123</v>
      </c>
      <c r="Q104" s="18" t="s">
        <v>110</v>
      </c>
      <c r="R104" s="24">
        <f t="shared" ca="1" si="3"/>
        <v>50.589041095890408</v>
      </c>
      <c r="S104" s="24">
        <f t="shared" ca="1" si="4"/>
        <v>3.7890410958904108</v>
      </c>
    </row>
    <row r="105" spans="1:19" x14ac:dyDescent="0.5">
      <c r="A105" s="18">
        <f t="shared" si="5"/>
        <v>1104</v>
      </c>
      <c r="B105" s="18" t="s">
        <v>408</v>
      </c>
      <c r="C105" s="18" t="s">
        <v>74</v>
      </c>
      <c r="D105" s="21">
        <v>34299</v>
      </c>
      <c r="E105" s="18" t="s">
        <v>409</v>
      </c>
      <c r="F105" s="20">
        <v>44772.280405092592</v>
      </c>
      <c r="G105" s="18">
        <v>9892676862</v>
      </c>
      <c r="H105" s="18" t="s">
        <v>410</v>
      </c>
      <c r="I105" s="18" t="s">
        <v>77</v>
      </c>
      <c r="J105" s="18" t="s">
        <v>78</v>
      </c>
      <c r="K105" s="18">
        <v>88972.19</v>
      </c>
      <c r="L105" s="18" t="s">
        <v>117</v>
      </c>
      <c r="M105" s="18">
        <v>5026</v>
      </c>
      <c r="N105" s="18" t="s">
        <v>87</v>
      </c>
      <c r="O105" s="18">
        <v>7</v>
      </c>
      <c r="P105" s="18" t="s">
        <v>109</v>
      </c>
      <c r="Q105" s="18" t="s">
        <v>110</v>
      </c>
      <c r="R105" s="24">
        <f t="shared" ca="1" si="3"/>
        <v>32.345205479452055</v>
      </c>
      <c r="S105" s="24">
        <f t="shared" ca="1" si="4"/>
        <v>3.6520547945205482</v>
      </c>
    </row>
    <row r="106" spans="1:19" x14ac:dyDescent="0.5">
      <c r="A106" s="18">
        <f t="shared" si="5"/>
        <v>1105</v>
      </c>
      <c r="B106" s="18" t="s">
        <v>411</v>
      </c>
      <c r="C106" s="18" t="s">
        <v>74</v>
      </c>
      <c r="D106" s="19">
        <v>34430</v>
      </c>
      <c r="E106" s="18" t="s">
        <v>412</v>
      </c>
      <c r="F106" s="20">
        <v>44772.280405092592</v>
      </c>
      <c r="G106" s="18">
        <v>3364004412</v>
      </c>
      <c r="H106" s="18" t="s">
        <v>413</v>
      </c>
      <c r="I106" s="18" t="s">
        <v>86</v>
      </c>
      <c r="J106" s="18" t="s">
        <v>78</v>
      </c>
      <c r="K106" s="18">
        <v>34396.44</v>
      </c>
      <c r="L106" s="18" t="s">
        <v>79</v>
      </c>
      <c r="M106" s="18">
        <v>5042</v>
      </c>
      <c r="N106" s="18" t="s">
        <v>93</v>
      </c>
      <c r="O106" s="18">
        <v>14</v>
      </c>
      <c r="P106" s="18" t="s">
        <v>119</v>
      </c>
      <c r="Q106" s="18" t="s">
        <v>110</v>
      </c>
      <c r="R106" s="24">
        <f t="shared" ca="1" si="3"/>
        <v>31.986301369863014</v>
      </c>
      <c r="S106" s="24">
        <f t="shared" ca="1" si="4"/>
        <v>3.6520547945205482</v>
      </c>
    </row>
    <row r="107" spans="1:19" x14ac:dyDescent="0.5">
      <c r="A107" s="18">
        <f t="shared" si="5"/>
        <v>1106</v>
      </c>
      <c r="B107" s="18" t="s">
        <v>414</v>
      </c>
      <c r="C107" s="18" t="s">
        <v>74</v>
      </c>
      <c r="D107" s="19">
        <v>29628</v>
      </c>
      <c r="E107" s="18" t="s">
        <v>415</v>
      </c>
      <c r="F107" s="20">
        <v>44772.280405092592</v>
      </c>
      <c r="G107" s="18">
        <v>6005910799</v>
      </c>
      <c r="H107" s="18" t="s">
        <v>416</v>
      </c>
      <c r="I107" s="18" t="s">
        <v>77</v>
      </c>
      <c r="J107" s="18" t="s">
        <v>78</v>
      </c>
      <c r="K107" s="18">
        <v>115722.37</v>
      </c>
      <c r="L107" s="18" t="s">
        <v>79</v>
      </c>
      <c r="M107" s="18">
        <v>5022</v>
      </c>
      <c r="N107" s="18" t="s">
        <v>108</v>
      </c>
      <c r="O107" s="18">
        <v>2</v>
      </c>
      <c r="P107" s="18" t="s">
        <v>123</v>
      </c>
      <c r="Q107" s="18" t="s">
        <v>110</v>
      </c>
      <c r="R107" s="24">
        <f t="shared" ca="1" si="3"/>
        <v>45.142465753424659</v>
      </c>
      <c r="S107" s="24">
        <f t="shared" ca="1" si="4"/>
        <v>3.6520547945205482</v>
      </c>
    </row>
    <row r="108" spans="1:19" x14ac:dyDescent="0.5">
      <c r="A108" s="18">
        <f t="shared" si="5"/>
        <v>1107</v>
      </c>
      <c r="B108" s="18" t="s">
        <v>417</v>
      </c>
      <c r="C108" s="18" t="s">
        <v>90</v>
      </c>
      <c r="D108" s="21">
        <v>32803</v>
      </c>
      <c r="E108" s="18" t="s">
        <v>418</v>
      </c>
      <c r="F108" s="20">
        <v>44772.280405092592</v>
      </c>
      <c r="G108" s="18">
        <v>8804964775</v>
      </c>
      <c r="H108" s="18" t="s">
        <v>419</v>
      </c>
      <c r="I108" s="18" t="s">
        <v>77</v>
      </c>
      <c r="J108" s="18" t="s">
        <v>78</v>
      </c>
      <c r="K108" s="18">
        <v>81114.559999999998</v>
      </c>
      <c r="L108" s="18" t="s">
        <v>127</v>
      </c>
      <c r="M108" s="18">
        <v>5002</v>
      </c>
      <c r="N108" s="18" t="s">
        <v>108</v>
      </c>
      <c r="O108" s="18">
        <v>12</v>
      </c>
      <c r="P108" s="18" t="s">
        <v>109</v>
      </c>
      <c r="Q108" s="18" t="s">
        <v>110</v>
      </c>
      <c r="R108" s="24">
        <f t="shared" ca="1" si="3"/>
        <v>36.443835616438356</v>
      </c>
      <c r="S108" s="24">
        <f t="shared" ca="1" si="4"/>
        <v>3.6520547945205482</v>
      </c>
    </row>
    <row r="109" spans="1:19" x14ac:dyDescent="0.5">
      <c r="A109" s="18">
        <f t="shared" si="5"/>
        <v>1108</v>
      </c>
      <c r="B109" s="18" t="s">
        <v>420</v>
      </c>
      <c r="C109" s="18" t="s">
        <v>74</v>
      </c>
      <c r="D109" s="19">
        <v>38865</v>
      </c>
      <c r="E109" s="18" t="s">
        <v>421</v>
      </c>
      <c r="F109" s="20">
        <v>44772.280405092592</v>
      </c>
      <c r="G109" s="18">
        <v>3112590396</v>
      </c>
      <c r="H109" s="18" t="s">
        <v>422</v>
      </c>
      <c r="I109" s="18" t="s">
        <v>98</v>
      </c>
      <c r="J109" s="18" t="s">
        <v>78</v>
      </c>
      <c r="K109" s="18">
        <v>35101.33</v>
      </c>
      <c r="L109" s="18" t="s">
        <v>104</v>
      </c>
      <c r="M109" s="18">
        <v>5030</v>
      </c>
      <c r="N109" s="18" t="s">
        <v>87</v>
      </c>
      <c r="O109" s="18">
        <v>1</v>
      </c>
      <c r="P109" s="18" t="s">
        <v>119</v>
      </c>
      <c r="Q109" s="18" t="s">
        <v>110</v>
      </c>
      <c r="R109" s="24">
        <f t="shared" ca="1" si="3"/>
        <v>19.835616438356166</v>
      </c>
      <c r="S109" s="24">
        <f t="shared" ca="1" si="4"/>
        <v>3.6520547945205482</v>
      </c>
    </row>
    <row r="110" spans="1:19" x14ac:dyDescent="0.5">
      <c r="A110" s="18">
        <f t="shared" si="5"/>
        <v>1109</v>
      </c>
      <c r="B110" s="18" t="s">
        <v>423</v>
      </c>
      <c r="C110" s="18" t="s">
        <v>90</v>
      </c>
      <c r="D110" s="19">
        <v>35119</v>
      </c>
      <c r="E110" s="18" t="s">
        <v>424</v>
      </c>
      <c r="F110" s="20">
        <v>44772.280405092592</v>
      </c>
      <c r="G110" s="18">
        <v>7703770635</v>
      </c>
      <c r="H110" s="18" t="s">
        <v>425</v>
      </c>
      <c r="I110" s="18" t="s">
        <v>98</v>
      </c>
      <c r="J110" s="18" t="s">
        <v>78</v>
      </c>
      <c r="K110" s="18">
        <v>78408.929999999993</v>
      </c>
      <c r="L110" s="18" t="s">
        <v>117</v>
      </c>
      <c r="M110" s="18">
        <v>5051</v>
      </c>
      <c r="N110" s="18" t="s">
        <v>118</v>
      </c>
      <c r="O110" s="18">
        <v>8</v>
      </c>
      <c r="P110" s="18" t="s">
        <v>123</v>
      </c>
      <c r="Q110" s="18" t="s">
        <v>110</v>
      </c>
      <c r="R110" s="24">
        <f t="shared" ca="1" si="3"/>
        <v>30.098630136986301</v>
      </c>
      <c r="S110" s="24">
        <f t="shared" ca="1" si="4"/>
        <v>3.6520547945205482</v>
      </c>
    </row>
    <row r="111" spans="1:19" x14ac:dyDescent="0.5">
      <c r="A111" s="18">
        <f t="shared" si="5"/>
        <v>1110</v>
      </c>
      <c r="B111" s="18" t="s">
        <v>426</v>
      </c>
      <c r="C111" s="18" t="s">
        <v>74</v>
      </c>
      <c r="D111" s="19">
        <v>31280</v>
      </c>
      <c r="E111" s="18" t="s">
        <v>427</v>
      </c>
      <c r="F111" s="20">
        <v>44772.280405092592</v>
      </c>
      <c r="G111" s="18">
        <v>8344660849</v>
      </c>
      <c r="H111" s="18" t="s">
        <v>428</v>
      </c>
      <c r="I111" s="18" t="s">
        <v>86</v>
      </c>
      <c r="J111" s="18" t="s">
        <v>103</v>
      </c>
      <c r="K111" s="18">
        <v>138812.95000000001</v>
      </c>
      <c r="L111" s="18" t="s">
        <v>79</v>
      </c>
      <c r="M111" s="18">
        <v>5015</v>
      </c>
      <c r="N111" s="18" t="s">
        <v>118</v>
      </c>
      <c r="O111" s="18">
        <v>11</v>
      </c>
      <c r="P111" s="18" t="s">
        <v>119</v>
      </c>
      <c r="Q111" s="18" t="s">
        <v>110</v>
      </c>
      <c r="R111" s="24">
        <f t="shared" ca="1" si="3"/>
        <v>40.61643835616438</v>
      </c>
      <c r="S111" s="24">
        <f t="shared" ca="1" si="4"/>
        <v>3.6520547945205482</v>
      </c>
    </row>
    <row r="112" spans="1:19" x14ac:dyDescent="0.5">
      <c r="A112" s="18">
        <f t="shared" si="5"/>
        <v>1111</v>
      </c>
      <c r="B112" s="18" t="s">
        <v>429</v>
      </c>
      <c r="C112" s="18" t="s">
        <v>74</v>
      </c>
      <c r="D112" s="19">
        <v>29858</v>
      </c>
      <c r="E112" s="18" t="s">
        <v>430</v>
      </c>
      <c r="F112" s="20">
        <v>44772.280405092592</v>
      </c>
      <c r="G112" s="18">
        <v>1994551315</v>
      </c>
      <c r="H112" s="18" t="s">
        <v>431</v>
      </c>
      <c r="I112" s="18" t="s">
        <v>86</v>
      </c>
      <c r="J112" s="18" t="s">
        <v>103</v>
      </c>
      <c r="K112" s="18">
        <v>33309.47</v>
      </c>
      <c r="L112" s="18" t="s">
        <v>79</v>
      </c>
      <c r="M112" s="18">
        <v>5001</v>
      </c>
      <c r="N112" s="18" t="s">
        <v>87</v>
      </c>
      <c r="O112" s="18">
        <v>10</v>
      </c>
      <c r="P112" s="18" t="s">
        <v>109</v>
      </c>
      <c r="Q112" s="18" t="s">
        <v>110</v>
      </c>
      <c r="R112" s="24">
        <f t="shared" ca="1" si="3"/>
        <v>44.512328767123286</v>
      </c>
      <c r="S112" s="24">
        <f t="shared" ca="1" si="4"/>
        <v>3.6520547945205482</v>
      </c>
    </row>
    <row r="113" spans="1:19" x14ac:dyDescent="0.5">
      <c r="A113" s="18">
        <f t="shared" si="5"/>
        <v>1112</v>
      </c>
      <c r="B113" s="18" t="s">
        <v>432</v>
      </c>
      <c r="C113" s="18" t="s">
        <v>74</v>
      </c>
      <c r="D113" s="19">
        <v>27295</v>
      </c>
      <c r="E113" s="18" t="s">
        <v>433</v>
      </c>
      <c r="F113" s="20">
        <v>44799.767824074072</v>
      </c>
      <c r="G113" s="18">
        <v>6221554113</v>
      </c>
      <c r="H113" s="18" t="s">
        <v>434</v>
      </c>
      <c r="I113" s="18" t="s">
        <v>77</v>
      </c>
      <c r="J113" s="18" t="s">
        <v>78</v>
      </c>
      <c r="K113" s="18">
        <v>30111.15</v>
      </c>
      <c r="L113" s="18" t="s">
        <v>117</v>
      </c>
      <c r="M113" s="18">
        <v>5048</v>
      </c>
      <c r="N113" s="18" t="s">
        <v>80</v>
      </c>
      <c r="O113" s="18">
        <v>17</v>
      </c>
      <c r="P113" s="18" t="s">
        <v>123</v>
      </c>
      <c r="Q113" s="18" t="s">
        <v>110</v>
      </c>
      <c r="R113" s="24">
        <f t="shared" ca="1" si="3"/>
        <v>51.534246575342465</v>
      </c>
      <c r="S113" s="24">
        <f t="shared" ca="1" si="4"/>
        <v>3.5780821917808221</v>
      </c>
    </row>
    <row r="114" spans="1:19" x14ac:dyDescent="0.5">
      <c r="A114" s="18">
        <f t="shared" si="5"/>
        <v>1113</v>
      </c>
      <c r="B114" s="18" t="s">
        <v>435</v>
      </c>
      <c r="C114" s="18" t="s">
        <v>74</v>
      </c>
      <c r="D114" s="19">
        <v>33058</v>
      </c>
      <c r="E114" s="18" t="s">
        <v>436</v>
      </c>
      <c r="F114" s="20">
        <v>44799.767824074072</v>
      </c>
      <c r="G114" s="18">
        <v>8943708352</v>
      </c>
      <c r="H114" s="18" t="s">
        <v>437</v>
      </c>
      <c r="I114" s="18" t="s">
        <v>98</v>
      </c>
      <c r="J114" s="18" t="s">
        <v>78</v>
      </c>
      <c r="K114" s="18">
        <v>40893.29</v>
      </c>
      <c r="L114" s="18" t="s">
        <v>117</v>
      </c>
      <c r="M114" s="18">
        <v>5011</v>
      </c>
      <c r="N114" s="18" t="s">
        <v>87</v>
      </c>
      <c r="O114" s="18">
        <v>15</v>
      </c>
      <c r="P114" s="18" t="s">
        <v>82</v>
      </c>
      <c r="Q114" s="18" t="s">
        <v>82</v>
      </c>
      <c r="R114" s="24">
        <f t="shared" ca="1" si="3"/>
        <v>35.745205479452054</v>
      </c>
      <c r="S114" s="24">
        <f t="shared" ca="1" si="4"/>
        <v>3.5780821917808221</v>
      </c>
    </row>
    <row r="115" spans="1:19" x14ac:dyDescent="0.5">
      <c r="A115" s="18">
        <f t="shared" si="5"/>
        <v>1114</v>
      </c>
      <c r="B115" s="18" t="s">
        <v>438</v>
      </c>
      <c r="C115" s="18" t="s">
        <v>90</v>
      </c>
      <c r="D115" s="21">
        <v>27711</v>
      </c>
      <c r="E115" s="18" t="s">
        <v>439</v>
      </c>
      <c r="F115" s="20">
        <v>44799.767824074072</v>
      </c>
      <c r="G115" s="18">
        <v>3569229900</v>
      </c>
      <c r="H115" s="18" t="s">
        <v>440</v>
      </c>
      <c r="I115" s="18" t="s">
        <v>86</v>
      </c>
      <c r="J115" s="18" t="s">
        <v>78</v>
      </c>
      <c r="K115" s="18">
        <v>59623.16</v>
      </c>
      <c r="L115" s="18" t="s">
        <v>127</v>
      </c>
      <c r="M115" s="18">
        <v>5045</v>
      </c>
      <c r="N115" s="18" t="s">
        <v>118</v>
      </c>
      <c r="O115" s="18">
        <v>17</v>
      </c>
      <c r="P115" s="18" t="s">
        <v>119</v>
      </c>
      <c r="Q115" s="18" t="s">
        <v>110</v>
      </c>
      <c r="R115" s="24">
        <f t="shared" ca="1" si="3"/>
        <v>50.394520547945206</v>
      </c>
      <c r="S115" s="24">
        <f t="shared" ca="1" si="4"/>
        <v>3.5780821917808221</v>
      </c>
    </row>
    <row r="116" spans="1:19" x14ac:dyDescent="0.5">
      <c r="A116" s="18">
        <f t="shared" si="5"/>
        <v>1115</v>
      </c>
      <c r="B116" s="18" t="s">
        <v>441</v>
      </c>
      <c r="C116" s="18" t="s">
        <v>90</v>
      </c>
      <c r="D116" s="19">
        <v>32940</v>
      </c>
      <c r="E116" s="18" t="s">
        <v>442</v>
      </c>
      <c r="F116" s="20">
        <v>44799.767824074072</v>
      </c>
      <c r="G116" s="18">
        <v>8323390464</v>
      </c>
      <c r="H116" s="18" t="s">
        <v>443</v>
      </c>
      <c r="I116" s="18" t="s">
        <v>98</v>
      </c>
      <c r="J116" s="18" t="s">
        <v>103</v>
      </c>
      <c r="K116" s="18">
        <v>97229.97</v>
      </c>
      <c r="L116" s="18" t="s">
        <v>117</v>
      </c>
      <c r="M116" s="18">
        <v>5028</v>
      </c>
      <c r="N116" s="18" t="s">
        <v>87</v>
      </c>
      <c r="O116" s="18">
        <v>13</v>
      </c>
      <c r="P116" s="18" t="s">
        <v>123</v>
      </c>
      <c r="Q116" s="18" t="s">
        <v>110</v>
      </c>
      <c r="R116" s="24">
        <f t="shared" ca="1" si="3"/>
        <v>36.06849315068493</v>
      </c>
      <c r="S116" s="24">
        <f t="shared" ca="1" si="4"/>
        <v>3.5780821917808221</v>
      </c>
    </row>
    <row r="117" spans="1:19" x14ac:dyDescent="0.5">
      <c r="A117" s="18">
        <f t="shared" si="5"/>
        <v>1116</v>
      </c>
      <c r="B117" s="18" t="s">
        <v>444</v>
      </c>
      <c r="C117" s="18" t="s">
        <v>74</v>
      </c>
      <c r="D117" s="19">
        <v>30209</v>
      </c>
      <c r="E117" s="18" t="s">
        <v>445</v>
      </c>
      <c r="F117" s="20">
        <v>44799.767824074072</v>
      </c>
      <c r="G117" s="18">
        <v>5751695681</v>
      </c>
      <c r="H117" s="18" t="s">
        <v>446</v>
      </c>
      <c r="I117" s="18" t="s">
        <v>98</v>
      </c>
      <c r="J117" s="18" t="s">
        <v>103</v>
      </c>
      <c r="K117" s="18">
        <v>107476.89</v>
      </c>
      <c r="L117" s="18" t="s">
        <v>104</v>
      </c>
      <c r="M117" s="18">
        <v>5013</v>
      </c>
      <c r="N117" s="18" t="s">
        <v>108</v>
      </c>
      <c r="O117" s="18">
        <v>16</v>
      </c>
      <c r="P117" s="18" t="s">
        <v>146</v>
      </c>
      <c r="Q117" s="18" t="s">
        <v>82</v>
      </c>
      <c r="R117" s="24">
        <f t="shared" ca="1" si="3"/>
        <v>43.550684931506851</v>
      </c>
      <c r="S117" s="24">
        <f t="shared" ca="1" si="4"/>
        <v>3.5780821917808221</v>
      </c>
    </row>
    <row r="118" spans="1:19" x14ac:dyDescent="0.5">
      <c r="A118" s="18">
        <f t="shared" si="5"/>
        <v>1117</v>
      </c>
      <c r="B118" s="18" t="s">
        <v>447</v>
      </c>
      <c r="C118" s="18" t="s">
        <v>74</v>
      </c>
      <c r="D118" s="19">
        <v>31725</v>
      </c>
      <c r="E118" s="18" t="s">
        <v>448</v>
      </c>
      <c r="F118" s="20">
        <v>44852.312638888892</v>
      </c>
      <c r="G118" s="18">
        <v>5551185538</v>
      </c>
      <c r="H118" s="18" t="s">
        <v>449</v>
      </c>
      <c r="I118" s="18" t="s">
        <v>98</v>
      </c>
      <c r="J118" s="18" t="s">
        <v>78</v>
      </c>
      <c r="K118" s="18">
        <v>98331.23</v>
      </c>
      <c r="L118" s="18" t="s">
        <v>79</v>
      </c>
      <c r="M118" s="18">
        <v>5019</v>
      </c>
      <c r="N118" s="18" t="s">
        <v>80</v>
      </c>
      <c r="O118" s="18">
        <v>15</v>
      </c>
      <c r="P118" s="18" t="s">
        <v>109</v>
      </c>
      <c r="Q118" s="18" t="s">
        <v>110</v>
      </c>
      <c r="R118" s="24">
        <f t="shared" ca="1" si="3"/>
        <v>39.397260273972606</v>
      </c>
      <c r="S118" s="24">
        <f t="shared" ca="1" si="4"/>
        <v>3.4328767123287673</v>
      </c>
    </row>
    <row r="119" spans="1:19" x14ac:dyDescent="0.5">
      <c r="A119" s="18">
        <f t="shared" si="5"/>
        <v>1118</v>
      </c>
      <c r="B119" s="18" t="s">
        <v>450</v>
      </c>
      <c r="C119" s="18" t="s">
        <v>74</v>
      </c>
      <c r="D119" s="19">
        <v>38588</v>
      </c>
      <c r="E119" s="18" t="s">
        <v>451</v>
      </c>
      <c r="F119" s="20">
        <v>44852.312638888892</v>
      </c>
      <c r="G119" s="18">
        <v>6820371408</v>
      </c>
      <c r="H119" s="18" t="s">
        <v>452</v>
      </c>
      <c r="I119" s="18" t="s">
        <v>98</v>
      </c>
      <c r="J119" s="18" t="s">
        <v>78</v>
      </c>
      <c r="K119" s="18">
        <v>132203.69</v>
      </c>
      <c r="L119" s="18" t="s">
        <v>117</v>
      </c>
      <c r="M119" s="18">
        <v>5012</v>
      </c>
      <c r="N119" s="18" t="s">
        <v>93</v>
      </c>
      <c r="O119" s="18">
        <v>4</v>
      </c>
      <c r="P119" s="18" t="s">
        <v>146</v>
      </c>
      <c r="Q119" s="18" t="s">
        <v>82</v>
      </c>
      <c r="R119" s="24">
        <f t="shared" ca="1" si="3"/>
        <v>20.594520547945205</v>
      </c>
      <c r="S119" s="24">
        <f t="shared" ca="1" si="4"/>
        <v>3.4328767123287673</v>
      </c>
    </row>
    <row r="120" spans="1:19" x14ac:dyDescent="0.5">
      <c r="A120" s="18">
        <f t="shared" si="5"/>
        <v>1119</v>
      </c>
      <c r="B120" s="18" t="s">
        <v>453</v>
      </c>
      <c r="C120" s="18" t="s">
        <v>90</v>
      </c>
      <c r="D120" s="19">
        <v>29023</v>
      </c>
      <c r="E120" s="18" t="s">
        <v>454</v>
      </c>
      <c r="F120" s="20">
        <v>44852.312638888892</v>
      </c>
      <c r="G120" s="18">
        <v>6786325176</v>
      </c>
      <c r="H120" s="18" t="s">
        <v>455</v>
      </c>
      <c r="I120" s="18" t="s">
        <v>86</v>
      </c>
      <c r="J120" s="18" t="s">
        <v>78</v>
      </c>
      <c r="K120" s="18">
        <v>54022.92</v>
      </c>
      <c r="L120" s="18" t="s">
        <v>117</v>
      </c>
      <c r="M120" s="18">
        <v>5016</v>
      </c>
      <c r="N120" s="18" t="s">
        <v>108</v>
      </c>
      <c r="O120" s="18">
        <v>2</v>
      </c>
      <c r="P120" s="18" t="s">
        <v>123</v>
      </c>
      <c r="Q120" s="18" t="s">
        <v>110</v>
      </c>
      <c r="R120" s="24">
        <f t="shared" ca="1" si="3"/>
        <v>46.8</v>
      </c>
      <c r="S120" s="24">
        <f t="shared" ca="1" si="4"/>
        <v>3.4328767123287673</v>
      </c>
    </row>
    <row r="121" spans="1:19" x14ac:dyDescent="0.5">
      <c r="A121" s="18">
        <f t="shared" si="5"/>
        <v>1120</v>
      </c>
      <c r="B121" s="18" t="s">
        <v>456</v>
      </c>
      <c r="C121" s="18" t="s">
        <v>74</v>
      </c>
      <c r="D121" s="19">
        <v>37802</v>
      </c>
      <c r="E121" s="18" t="s">
        <v>457</v>
      </c>
      <c r="F121" s="20">
        <v>44852.312638888892</v>
      </c>
      <c r="G121" s="18">
        <v>4263618741</v>
      </c>
      <c r="H121" s="18" t="s">
        <v>458</v>
      </c>
      <c r="I121" s="18" t="s">
        <v>98</v>
      </c>
      <c r="J121" s="18" t="s">
        <v>103</v>
      </c>
      <c r="K121" s="18">
        <v>83954.35</v>
      </c>
      <c r="L121" s="18" t="s">
        <v>117</v>
      </c>
      <c r="M121" s="18">
        <v>5033</v>
      </c>
      <c r="N121" s="18" t="s">
        <v>87</v>
      </c>
      <c r="O121" s="18">
        <v>16</v>
      </c>
      <c r="P121" s="18" t="s">
        <v>146</v>
      </c>
      <c r="Q121" s="18" t="s">
        <v>82</v>
      </c>
      <c r="R121" s="24">
        <f t="shared" ca="1" si="3"/>
        <v>22.747945205479454</v>
      </c>
      <c r="S121" s="24">
        <f t="shared" ca="1" si="4"/>
        <v>3.4328767123287673</v>
      </c>
    </row>
    <row r="122" spans="1:19" x14ac:dyDescent="0.5">
      <c r="A122" s="18">
        <f t="shared" si="5"/>
        <v>1121</v>
      </c>
      <c r="B122" s="18" t="s">
        <v>459</v>
      </c>
      <c r="C122" s="18" t="s">
        <v>74</v>
      </c>
      <c r="D122" s="19">
        <v>29613</v>
      </c>
      <c r="E122" s="18" t="s">
        <v>460</v>
      </c>
      <c r="F122" s="20">
        <v>44901.095497685186</v>
      </c>
      <c r="G122" s="18">
        <v>8901702115</v>
      </c>
      <c r="H122" s="18" t="s">
        <v>461</v>
      </c>
      <c r="I122" s="18" t="s">
        <v>77</v>
      </c>
      <c r="J122" s="18" t="s">
        <v>78</v>
      </c>
      <c r="K122" s="18">
        <v>80491.27</v>
      </c>
      <c r="L122" s="18" t="s">
        <v>104</v>
      </c>
      <c r="M122" s="18">
        <v>5010</v>
      </c>
      <c r="N122" s="18" t="s">
        <v>118</v>
      </c>
      <c r="O122" s="18">
        <v>1</v>
      </c>
      <c r="P122" s="18" t="s">
        <v>146</v>
      </c>
      <c r="Q122" s="18" t="s">
        <v>82</v>
      </c>
      <c r="R122" s="24">
        <f t="shared" ca="1" si="3"/>
        <v>45.183561643835617</v>
      </c>
      <c r="S122" s="24">
        <f t="shared" ca="1" si="4"/>
        <v>3.2986301369863016</v>
      </c>
    </row>
    <row r="123" spans="1:19" x14ac:dyDescent="0.5">
      <c r="A123" s="18">
        <f t="shared" si="5"/>
        <v>1122</v>
      </c>
      <c r="B123" s="18" t="s">
        <v>462</v>
      </c>
      <c r="C123" s="18" t="s">
        <v>90</v>
      </c>
      <c r="D123" s="19">
        <v>33120</v>
      </c>
      <c r="E123" s="18" t="s">
        <v>463</v>
      </c>
      <c r="F123" s="20">
        <v>44901.095497685186</v>
      </c>
      <c r="G123" s="18">
        <v>749057149</v>
      </c>
      <c r="H123" s="18" t="s">
        <v>464</v>
      </c>
      <c r="I123" s="18" t="s">
        <v>77</v>
      </c>
      <c r="J123" s="18" t="s">
        <v>103</v>
      </c>
      <c r="K123" s="18">
        <v>50680.88</v>
      </c>
      <c r="L123" s="18" t="s">
        <v>104</v>
      </c>
      <c r="M123" s="18">
        <v>5038</v>
      </c>
      <c r="N123" s="18" t="s">
        <v>80</v>
      </c>
      <c r="O123" s="18">
        <v>1</v>
      </c>
      <c r="P123" s="18" t="s">
        <v>123</v>
      </c>
      <c r="Q123" s="18" t="s">
        <v>110</v>
      </c>
      <c r="R123" s="24">
        <f t="shared" ca="1" si="3"/>
        <v>35.575342465753423</v>
      </c>
      <c r="S123" s="24">
        <f t="shared" ca="1" si="4"/>
        <v>3.2986301369863016</v>
      </c>
    </row>
    <row r="124" spans="1:19" x14ac:dyDescent="0.5">
      <c r="A124" s="18">
        <f t="shared" si="5"/>
        <v>1123</v>
      </c>
      <c r="B124" s="18" t="s">
        <v>465</v>
      </c>
      <c r="C124" s="18" t="s">
        <v>74</v>
      </c>
      <c r="D124" s="19">
        <v>35707</v>
      </c>
      <c r="E124" s="18" t="s">
        <v>466</v>
      </c>
      <c r="F124" s="20">
        <v>44901.095497685186</v>
      </c>
      <c r="G124" s="18">
        <v>7423594519</v>
      </c>
      <c r="H124" s="18" t="s">
        <v>467</v>
      </c>
      <c r="I124" s="18" t="s">
        <v>77</v>
      </c>
      <c r="J124" s="18" t="s">
        <v>103</v>
      </c>
      <c r="K124" s="18">
        <v>110093.45</v>
      </c>
      <c r="L124" s="18" t="s">
        <v>104</v>
      </c>
      <c r="M124" s="18">
        <v>5047</v>
      </c>
      <c r="N124" s="18" t="s">
        <v>80</v>
      </c>
      <c r="O124" s="18">
        <v>4</v>
      </c>
      <c r="P124" s="18" t="s">
        <v>109</v>
      </c>
      <c r="Q124" s="18" t="s">
        <v>110</v>
      </c>
      <c r="R124" s="24">
        <f t="shared" ca="1" si="3"/>
        <v>28.487671232876714</v>
      </c>
      <c r="S124" s="24">
        <f t="shared" ca="1" si="4"/>
        <v>3.2986301369863016</v>
      </c>
    </row>
    <row r="125" spans="1:19" x14ac:dyDescent="0.5">
      <c r="A125" s="18">
        <f t="shared" si="5"/>
        <v>1124</v>
      </c>
      <c r="B125" s="18" t="s">
        <v>468</v>
      </c>
      <c r="C125" s="18" t="s">
        <v>90</v>
      </c>
      <c r="D125" s="19">
        <v>31913</v>
      </c>
      <c r="E125" s="18" t="s">
        <v>469</v>
      </c>
      <c r="F125" s="20">
        <v>44901.095497685186</v>
      </c>
      <c r="G125" s="18">
        <v>3460059516</v>
      </c>
      <c r="H125" s="18" t="s">
        <v>470</v>
      </c>
      <c r="I125" s="18" t="s">
        <v>77</v>
      </c>
      <c r="J125" s="18" t="s">
        <v>103</v>
      </c>
      <c r="K125" s="18">
        <v>37575.07</v>
      </c>
      <c r="L125" s="18" t="s">
        <v>79</v>
      </c>
      <c r="M125" s="18">
        <v>5020</v>
      </c>
      <c r="N125" s="18" t="s">
        <v>118</v>
      </c>
      <c r="O125" s="18">
        <v>8</v>
      </c>
      <c r="P125" s="18" t="s">
        <v>82</v>
      </c>
      <c r="Q125" s="18" t="s">
        <v>82</v>
      </c>
      <c r="R125" s="24">
        <f t="shared" ca="1" si="3"/>
        <v>38.88219178082192</v>
      </c>
      <c r="S125" s="24">
        <f t="shared" ca="1" si="4"/>
        <v>3.2986301369863016</v>
      </c>
    </row>
    <row r="126" spans="1:19" x14ac:dyDescent="0.5">
      <c r="A126" s="18">
        <f t="shared" si="5"/>
        <v>1125</v>
      </c>
      <c r="B126" s="18" t="s">
        <v>471</v>
      </c>
      <c r="C126" s="18" t="s">
        <v>90</v>
      </c>
      <c r="D126" s="19">
        <v>33763</v>
      </c>
      <c r="E126" s="18" t="s">
        <v>472</v>
      </c>
      <c r="F126" s="20">
        <v>44942.322268518517</v>
      </c>
      <c r="G126" s="18">
        <v>7369622167</v>
      </c>
      <c r="H126" s="18" t="s">
        <v>473</v>
      </c>
      <c r="I126" s="18" t="s">
        <v>86</v>
      </c>
      <c r="J126" s="18" t="s">
        <v>103</v>
      </c>
      <c r="K126" s="18">
        <v>146910.48000000001</v>
      </c>
      <c r="L126" s="18" t="s">
        <v>117</v>
      </c>
      <c r="M126" s="18">
        <v>5046</v>
      </c>
      <c r="N126" s="18" t="s">
        <v>108</v>
      </c>
      <c r="O126" s="18">
        <v>8</v>
      </c>
      <c r="P126" s="18" t="s">
        <v>119</v>
      </c>
      <c r="Q126" s="18" t="s">
        <v>110</v>
      </c>
      <c r="R126" s="24">
        <f t="shared" ca="1" si="3"/>
        <v>33.813698630136983</v>
      </c>
      <c r="S126" s="24">
        <f t="shared" ca="1" si="4"/>
        <v>3.1863013698630138</v>
      </c>
    </row>
    <row r="127" spans="1:19" x14ac:dyDescent="0.5">
      <c r="A127" s="18">
        <f t="shared" si="5"/>
        <v>1126</v>
      </c>
      <c r="B127" s="18" t="s">
        <v>474</v>
      </c>
      <c r="C127" s="18" t="s">
        <v>74</v>
      </c>
      <c r="D127" s="21">
        <v>33190</v>
      </c>
      <c r="E127" s="18" t="s">
        <v>475</v>
      </c>
      <c r="F127" s="20">
        <v>44948.822685185187</v>
      </c>
      <c r="G127" s="18">
        <v>5374322284</v>
      </c>
      <c r="H127" s="18" t="s">
        <v>476</v>
      </c>
      <c r="I127" s="18" t="s">
        <v>98</v>
      </c>
      <c r="J127" s="18" t="s">
        <v>103</v>
      </c>
      <c r="K127" s="18">
        <v>88273.26</v>
      </c>
      <c r="L127" s="18" t="s">
        <v>117</v>
      </c>
      <c r="M127" s="18">
        <v>5011</v>
      </c>
      <c r="N127" s="18" t="s">
        <v>93</v>
      </c>
      <c r="O127" s="18">
        <v>21</v>
      </c>
      <c r="P127" s="18" t="s">
        <v>82</v>
      </c>
      <c r="Q127" s="18" t="s">
        <v>82</v>
      </c>
      <c r="R127" s="24">
        <f t="shared" ca="1" si="3"/>
        <v>35.38356164383562</v>
      </c>
      <c r="S127" s="24">
        <f t="shared" ca="1" si="4"/>
        <v>3.1698630136986301</v>
      </c>
    </row>
    <row r="128" spans="1:19" x14ac:dyDescent="0.5">
      <c r="A128" s="18">
        <f t="shared" si="5"/>
        <v>1127</v>
      </c>
      <c r="B128" s="18" t="s">
        <v>477</v>
      </c>
      <c r="C128" s="18" t="s">
        <v>74</v>
      </c>
      <c r="D128" s="19">
        <v>38611</v>
      </c>
      <c r="E128" s="18" t="s">
        <v>478</v>
      </c>
      <c r="F128" s="20">
        <v>45091.671481481484</v>
      </c>
      <c r="G128" s="18">
        <v>8639286815</v>
      </c>
      <c r="H128" s="18" t="s">
        <v>479</v>
      </c>
      <c r="I128" s="18" t="s">
        <v>86</v>
      </c>
      <c r="J128" s="18" t="s">
        <v>78</v>
      </c>
      <c r="K128" s="18">
        <v>124890.88</v>
      </c>
      <c r="L128" s="18" t="s">
        <v>117</v>
      </c>
      <c r="M128" s="18">
        <v>5003</v>
      </c>
      <c r="N128" s="18" t="s">
        <v>118</v>
      </c>
      <c r="O128" s="18">
        <v>12</v>
      </c>
      <c r="P128" s="18" t="s">
        <v>109</v>
      </c>
      <c r="Q128" s="18" t="s">
        <v>110</v>
      </c>
      <c r="R128" s="24">
        <f t="shared" ca="1" si="3"/>
        <v>20.531506849315068</v>
      </c>
      <c r="S128" s="24">
        <f t="shared" ca="1" si="4"/>
        <v>2.7780821917808218</v>
      </c>
    </row>
    <row r="129" spans="1:19" x14ac:dyDescent="0.5">
      <c r="A129" s="18">
        <f t="shared" si="5"/>
        <v>1128</v>
      </c>
      <c r="B129" s="18" t="s">
        <v>480</v>
      </c>
      <c r="C129" s="18" t="s">
        <v>90</v>
      </c>
      <c r="D129" s="19">
        <v>32719</v>
      </c>
      <c r="E129" s="18" t="s">
        <v>481</v>
      </c>
      <c r="F129" s="20">
        <v>45099.460219907407</v>
      </c>
      <c r="G129" s="18">
        <v>2803288859</v>
      </c>
      <c r="H129" s="18" t="s">
        <v>482</v>
      </c>
      <c r="I129" s="18" t="s">
        <v>86</v>
      </c>
      <c r="J129" s="18" t="s">
        <v>78</v>
      </c>
      <c r="K129" s="18">
        <v>117349.81</v>
      </c>
      <c r="L129" s="18" t="s">
        <v>127</v>
      </c>
      <c r="M129" s="18">
        <v>5005</v>
      </c>
      <c r="N129" s="18" t="s">
        <v>93</v>
      </c>
      <c r="O129" s="18">
        <v>8</v>
      </c>
      <c r="P129" s="18" t="s">
        <v>119</v>
      </c>
      <c r="Q129" s="18" t="s">
        <v>110</v>
      </c>
      <c r="R129" s="24">
        <f t="shared" ca="1" si="3"/>
        <v>36.673972602739724</v>
      </c>
      <c r="S129" s="24">
        <f t="shared" ca="1" si="4"/>
        <v>2.7561643835616438</v>
      </c>
    </row>
    <row r="130" spans="1:19" x14ac:dyDescent="0.5">
      <c r="A130" s="18">
        <f t="shared" si="5"/>
        <v>1129</v>
      </c>
      <c r="B130" s="18" t="s">
        <v>483</v>
      </c>
      <c r="C130" s="18" t="s">
        <v>74</v>
      </c>
      <c r="D130" s="21">
        <v>29179</v>
      </c>
      <c r="E130" s="18" t="s">
        <v>484</v>
      </c>
      <c r="F130" s="20">
        <v>45129.017187500001</v>
      </c>
      <c r="G130" s="18">
        <v>2855917942</v>
      </c>
      <c r="H130" s="18" t="s">
        <v>485</v>
      </c>
      <c r="I130" s="18" t="s">
        <v>86</v>
      </c>
      <c r="J130" s="18" t="s">
        <v>78</v>
      </c>
      <c r="K130" s="18">
        <v>51268.3</v>
      </c>
      <c r="L130" s="18" t="s">
        <v>104</v>
      </c>
      <c r="M130" s="18">
        <v>5028</v>
      </c>
      <c r="N130" s="18" t="s">
        <v>87</v>
      </c>
      <c r="O130" s="18">
        <v>16</v>
      </c>
      <c r="P130" s="18" t="s">
        <v>119</v>
      </c>
      <c r="Q130" s="18" t="s">
        <v>110</v>
      </c>
      <c r="R130" s="24">
        <f t="shared" ca="1" si="3"/>
        <v>46.372602739726027</v>
      </c>
      <c r="S130" s="24">
        <f t="shared" ca="1" si="4"/>
        <v>2.6739726027397261</v>
      </c>
    </row>
    <row r="131" spans="1:19" x14ac:dyDescent="0.5">
      <c r="A131" s="18">
        <f t="shared" si="5"/>
        <v>1130</v>
      </c>
      <c r="B131" s="18" t="s">
        <v>486</v>
      </c>
      <c r="C131" s="18" t="s">
        <v>74</v>
      </c>
      <c r="D131" s="19">
        <v>30917</v>
      </c>
      <c r="E131" s="18" t="s">
        <v>487</v>
      </c>
      <c r="F131" s="20">
        <v>45133.710023148145</v>
      </c>
      <c r="G131" s="18">
        <v>9750227939</v>
      </c>
      <c r="H131" s="18" t="s">
        <v>488</v>
      </c>
      <c r="I131" s="18" t="s">
        <v>86</v>
      </c>
      <c r="J131" s="18" t="s">
        <v>103</v>
      </c>
      <c r="K131" s="18">
        <v>129682.27</v>
      </c>
      <c r="L131" s="18" t="s">
        <v>79</v>
      </c>
      <c r="M131" s="18">
        <v>5016</v>
      </c>
      <c r="N131" s="18" t="s">
        <v>93</v>
      </c>
      <c r="O131" s="18">
        <v>8</v>
      </c>
      <c r="P131" s="18" t="s">
        <v>146</v>
      </c>
      <c r="Q131" s="18" t="s">
        <v>82</v>
      </c>
      <c r="R131" s="24">
        <f t="shared" ref="R131:R151" ca="1" si="6">_xlfn.DAYS(TODAY(),D131)/365</f>
        <v>41.610958904109587</v>
      </c>
      <c r="S131" s="24">
        <f t="shared" ref="S131:S151" ca="1" si="7">_xlfn.DAYS(TODAY(),F131)/365</f>
        <v>2.6630136986301371</v>
      </c>
    </row>
    <row r="132" spans="1:19" x14ac:dyDescent="0.5">
      <c r="A132" s="18">
        <f t="shared" ref="A132:A151" si="8">A131+1</f>
        <v>1131</v>
      </c>
      <c r="B132" s="18" t="s">
        <v>489</v>
      </c>
      <c r="C132" s="18" t="s">
        <v>74</v>
      </c>
      <c r="D132" s="19">
        <v>34601</v>
      </c>
      <c r="E132" s="18" t="s">
        <v>490</v>
      </c>
      <c r="F132" s="20">
        <v>45150.640729166669</v>
      </c>
      <c r="G132" s="18">
        <v>387710636</v>
      </c>
      <c r="H132" s="18" t="s">
        <v>491</v>
      </c>
      <c r="I132" s="18" t="s">
        <v>98</v>
      </c>
      <c r="J132" s="18" t="s">
        <v>103</v>
      </c>
      <c r="K132" s="18">
        <v>55307.46</v>
      </c>
      <c r="L132" s="18" t="s">
        <v>104</v>
      </c>
      <c r="M132" s="18">
        <v>5010</v>
      </c>
      <c r="N132" s="18" t="s">
        <v>87</v>
      </c>
      <c r="O132" s="18">
        <v>14</v>
      </c>
      <c r="P132" s="18" t="s">
        <v>119</v>
      </c>
      <c r="Q132" s="18" t="s">
        <v>110</v>
      </c>
      <c r="R132" s="24">
        <f t="shared" ca="1" si="6"/>
        <v>31.517808219178082</v>
      </c>
      <c r="S132" s="24">
        <f t="shared" ca="1" si="7"/>
        <v>2.6164383561643834</v>
      </c>
    </row>
    <row r="133" spans="1:19" x14ac:dyDescent="0.5">
      <c r="A133" s="18">
        <f t="shared" si="8"/>
        <v>1132</v>
      </c>
      <c r="B133" s="18" t="s">
        <v>492</v>
      </c>
      <c r="C133" s="18" t="s">
        <v>74</v>
      </c>
      <c r="D133" s="19">
        <v>27199</v>
      </c>
      <c r="E133" s="18" t="s">
        <v>493</v>
      </c>
      <c r="F133" s="20">
        <v>45177.235567129632</v>
      </c>
      <c r="G133" s="18">
        <v>8265787043</v>
      </c>
      <c r="H133" s="18" t="s">
        <v>494</v>
      </c>
      <c r="I133" s="18" t="s">
        <v>86</v>
      </c>
      <c r="J133" s="18" t="s">
        <v>78</v>
      </c>
      <c r="K133" s="18">
        <v>61914.57</v>
      </c>
      <c r="L133" s="18" t="s">
        <v>117</v>
      </c>
      <c r="M133" s="18">
        <v>5037</v>
      </c>
      <c r="N133" s="18" t="s">
        <v>87</v>
      </c>
      <c r="O133" s="18">
        <v>10</v>
      </c>
      <c r="P133" s="18" t="s">
        <v>109</v>
      </c>
      <c r="Q133" s="18" t="s">
        <v>110</v>
      </c>
      <c r="R133" s="24">
        <f t="shared" ca="1" si="6"/>
        <v>51.797260273972604</v>
      </c>
      <c r="S133" s="24">
        <f t="shared" ca="1" si="7"/>
        <v>2.5424657534246577</v>
      </c>
    </row>
    <row r="134" spans="1:19" x14ac:dyDescent="0.5">
      <c r="A134" s="18">
        <f t="shared" si="8"/>
        <v>1133</v>
      </c>
      <c r="B134" s="18" t="s">
        <v>495</v>
      </c>
      <c r="C134" s="18" t="s">
        <v>90</v>
      </c>
      <c r="D134" s="19">
        <v>28376</v>
      </c>
      <c r="E134" s="18" t="s">
        <v>496</v>
      </c>
      <c r="F134" s="20">
        <v>45190.324930555558</v>
      </c>
      <c r="G134" s="18">
        <v>489963586</v>
      </c>
      <c r="H134" s="18" t="s">
        <v>497</v>
      </c>
      <c r="I134" s="18" t="s">
        <v>77</v>
      </c>
      <c r="J134" s="18" t="s">
        <v>103</v>
      </c>
      <c r="K134" s="18">
        <v>36697.050000000003</v>
      </c>
      <c r="L134" s="18" t="s">
        <v>79</v>
      </c>
      <c r="M134" s="18">
        <v>5015</v>
      </c>
      <c r="N134" s="18" t="s">
        <v>80</v>
      </c>
      <c r="O134" s="18">
        <v>21</v>
      </c>
      <c r="P134" s="18" t="s">
        <v>123</v>
      </c>
      <c r="Q134" s="18" t="s">
        <v>110</v>
      </c>
      <c r="R134" s="24">
        <f t="shared" ca="1" si="6"/>
        <v>48.57260273972603</v>
      </c>
      <c r="S134" s="24">
        <f t="shared" ca="1" si="7"/>
        <v>2.506849315068493</v>
      </c>
    </row>
    <row r="135" spans="1:19" x14ac:dyDescent="0.5">
      <c r="A135" s="18">
        <f t="shared" si="8"/>
        <v>1134</v>
      </c>
      <c r="B135" s="18" t="s">
        <v>498</v>
      </c>
      <c r="C135" s="18" t="s">
        <v>74</v>
      </c>
      <c r="D135" s="19">
        <v>31829</v>
      </c>
      <c r="E135" s="18" t="s">
        <v>499</v>
      </c>
      <c r="F135" s="20">
        <v>45243.14298611111</v>
      </c>
      <c r="G135" s="18">
        <v>5501260126</v>
      </c>
      <c r="H135" s="18" t="s">
        <v>500</v>
      </c>
      <c r="I135" s="18" t="s">
        <v>98</v>
      </c>
      <c r="J135" s="18" t="s">
        <v>78</v>
      </c>
      <c r="K135" s="18">
        <v>136729.48000000001</v>
      </c>
      <c r="L135" s="18" t="s">
        <v>127</v>
      </c>
      <c r="M135" s="18">
        <v>5044</v>
      </c>
      <c r="N135" s="18" t="s">
        <v>87</v>
      </c>
      <c r="O135" s="18">
        <v>17</v>
      </c>
      <c r="P135" s="18" t="s">
        <v>123</v>
      </c>
      <c r="Q135" s="18" t="s">
        <v>110</v>
      </c>
      <c r="R135" s="24">
        <f t="shared" ca="1" si="6"/>
        <v>39.112328767123287</v>
      </c>
      <c r="S135" s="24">
        <f t="shared" ca="1" si="7"/>
        <v>2.3616438356164382</v>
      </c>
    </row>
    <row r="136" spans="1:19" x14ac:dyDescent="0.5">
      <c r="A136" s="18">
        <f t="shared" si="8"/>
        <v>1135</v>
      </c>
      <c r="B136" s="18" t="s">
        <v>501</v>
      </c>
      <c r="C136" s="18" t="s">
        <v>90</v>
      </c>
      <c r="D136" s="19">
        <v>30210</v>
      </c>
      <c r="E136" s="18" t="s">
        <v>502</v>
      </c>
      <c r="F136" s="20">
        <v>45243.14298611111</v>
      </c>
      <c r="G136" s="18">
        <v>9469865300</v>
      </c>
      <c r="H136" s="18" t="s">
        <v>503</v>
      </c>
      <c r="I136" s="18" t="s">
        <v>98</v>
      </c>
      <c r="J136" s="18" t="s">
        <v>103</v>
      </c>
      <c r="K136" s="18">
        <v>32851</v>
      </c>
      <c r="L136" s="18" t="s">
        <v>79</v>
      </c>
      <c r="M136" s="18">
        <v>5028</v>
      </c>
      <c r="N136" s="18" t="s">
        <v>118</v>
      </c>
      <c r="O136" s="18">
        <v>17</v>
      </c>
      <c r="P136" s="18" t="s">
        <v>146</v>
      </c>
      <c r="Q136" s="18" t="s">
        <v>82</v>
      </c>
      <c r="R136" s="24">
        <f t="shared" ca="1" si="6"/>
        <v>43.547945205479451</v>
      </c>
      <c r="S136" s="24">
        <f t="shared" ca="1" si="7"/>
        <v>2.3616438356164382</v>
      </c>
    </row>
    <row r="137" spans="1:19" x14ac:dyDescent="0.5">
      <c r="A137" s="18">
        <f t="shared" si="8"/>
        <v>1136</v>
      </c>
      <c r="B137" s="18" t="s">
        <v>504</v>
      </c>
      <c r="C137" s="18" t="s">
        <v>90</v>
      </c>
      <c r="D137" s="21">
        <v>33926</v>
      </c>
      <c r="E137" s="18" t="s">
        <v>505</v>
      </c>
      <c r="F137" s="20">
        <v>45245.563148148147</v>
      </c>
      <c r="G137" s="18">
        <v>4044708820</v>
      </c>
      <c r="H137" s="18" t="s">
        <v>506</v>
      </c>
      <c r="I137" s="18" t="s">
        <v>77</v>
      </c>
      <c r="J137" s="18" t="s">
        <v>103</v>
      </c>
      <c r="K137" s="18">
        <v>136840</v>
      </c>
      <c r="L137" s="18" t="s">
        <v>104</v>
      </c>
      <c r="M137" s="18">
        <v>5012</v>
      </c>
      <c r="N137" s="18" t="s">
        <v>80</v>
      </c>
      <c r="O137" s="18">
        <v>1</v>
      </c>
      <c r="P137" s="18" t="s">
        <v>119</v>
      </c>
      <c r="Q137" s="18" t="s">
        <v>110</v>
      </c>
      <c r="R137" s="24">
        <f t="shared" ca="1" si="6"/>
        <v>33.367123287671234</v>
      </c>
      <c r="S137" s="24">
        <f t="shared" ca="1" si="7"/>
        <v>2.3561643835616439</v>
      </c>
    </row>
    <row r="138" spans="1:19" x14ac:dyDescent="0.5">
      <c r="A138" s="18">
        <f t="shared" si="8"/>
        <v>1137</v>
      </c>
      <c r="B138" s="18" t="s">
        <v>507</v>
      </c>
      <c r="C138" s="18" t="s">
        <v>74</v>
      </c>
      <c r="D138" s="19">
        <v>35844</v>
      </c>
      <c r="E138" s="18" t="s">
        <v>508</v>
      </c>
      <c r="F138" s="20">
        <v>45245.563148148147</v>
      </c>
      <c r="G138" s="18">
        <v>2776477533</v>
      </c>
      <c r="H138" s="18" t="s">
        <v>509</v>
      </c>
      <c r="I138" s="18" t="s">
        <v>98</v>
      </c>
      <c r="J138" s="18" t="s">
        <v>103</v>
      </c>
      <c r="K138" s="18">
        <v>110481.87</v>
      </c>
      <c r="L138" s="18" t="s">
        <v>79</v>
      </c>
      <c r="M138" s="18">
        <v>5034</v>
      </c>
      <c r="N138" s="18" t="s">
        <v>80</v>
      </c>
      <c r="O138" s="18">
        <v>9</v>
      </c>
      <c r="P138" s="18" t="s">
        <v>119</v>
      </c>
      <c r="Q138" s="18" t="s">
        <v>110</v>
      </c>
      <c r="R138" s="24">
        <f t="shared" ca="1" si="6"/>
        <v>28.112328767123287</v>
      </c>
      <c r="S138" s="24">
        <f t="shared" ca="1" si="7"/>
        <v>2.3561643835616439</v>
      </c>
    </row>
    <row r="139" spans="1:19" x14ac:dyDescent="0.5">
      <c r="A139" s="18">
        <f t="shared" si="8"/>
        <v>1138</v>
      </c>
      <c r="B139" s="18" t="s">
        <v>510</v>
      </c>
      <c r="C139" s="18" t="s">
        <v>90</v>
      </c>
      <c r="D139" s="21">
        <v>31336</v>
      </c>
      <c r="E139" s="18" t="s">
        <v>511</v>
      </c>
      <c r="F139" s="20">
        <v>45254.905335648145</v>
      </c>
      <c r="G139" s="18">
        <v>4682261827</v>
      </c>
      <c r="H139" s="18" t="s">
        <v>512</v>
      </c>
      <c r="I139" s="18" t="s">
        <v>77</v>
      </c>
      <c r="J139" s="18" t="s">
        <v>103</v>
      </c>
      <c r="K139" s="18">
        <v>72097.53</v>
      </c>
      <c r="L139" s="18" t="s">
        <v>104</v>
      </c>
      <c r="M139" s="18">
        <v>5041</v>
      </c>
      <c r="N139" s="18" t="s">
        <v>108</v>
      </c>
      <c r="O139" s="18">
        <v>16</v>
      </c>
      <c r="P139" s="18" t="s">
        <v>119</v>
      </c>
      <c r="Q139" s="18" t="s">
        <v>110</v>
      </c>
      <c r="R139" s="24">
        <f t="shared" ca="1" si="6"/>
        <v>40.463013698630135</v>
      </c>
      <c r="S139" s="24">
        <f t="shared" ca="1" si="7"/>
        <v>2.3315068493150686</v>
      </c>
    </row>
    <row r="140" spans="1:19" x14ac:dyDescent="0.5">
      <c r="A140" s="18">
        <f t="shared" si="8"/>
        <v>1139</v>
      </c>
      <c r="B140" s="18" t="s">
        <v>513</v>
      </c>
      <c r="C140" s="18" t="s">
        <v>90</v>
      </c>
      <c r="D140" s="19">
        <v>36637</v>
      </c>
      <c r="E140" s="18" t="s">
        <v>514</v>
      </c>
      <c r="F140" s="20">
        <v>45254.905335648145</v>
      </c>
      <c r="G140" s="18">
        <v>7416554311</v>
      </c>
      <c r="H140" s="18" t="s">
        <v>515</v>
      </c>
      <c r="I140" s="18" t="s">
        <v>98</v>
      </c>
      <c r="J140" s="18" t="s">
        <v>103</v>
      </c>
      <c r="K140" s="18">
        <v>104198.52</v>
      </c>
      <c r="L140" s="18" t="s">
        <v>104</v>
      </c>
      <c r="M140" s="18">
        <v>5022</v>
      </c>
      <c r="N140" s="18" t="s">
        <v>93</v>
      </c>
      <c r="O140" s="18">
        <v>4</v>
      </c>
      <c r="P140" s="18" t="s">
        <v>146</v>
      </c>
      <c r="Q140" s="18" t="s">
        <v>82</v>
      </c>
      <c r="R140" s="24">
        <f t="shared" ca="1" si="6"/>
        <v>25.93972602739726</v>
      </c>
      <c r="S140" s="24">
        <f t="shared" ca="1" si="7"/>
        <v>2.3315068493150686</v>
      </c>
    </row>
    <row r="141" spans="1:19" x14ac:dyDescent="0.5">
      <c r="A141" s="18">
        <f t="shared" si="8"/>
        <v>1140</v>
      </c>
      <c r="B141" s="18" t="s">
        <v>516</v>
      </c>
      <c r="C141" s="18" t="s">
        <v>74</v>
      </c>
      <c r="D141" s="19">
        <v>27869</v>
      </c>
      <c r="E141" s="18" t="s">
        <v>517</v>
      </c>
      <c r="F141" s="20">
        <v>45255.13071759259</v>
      </c>
      <c r="G141" s="18">
        <v>8209564896</v>
      </c>
      <c r="H141" s="18" t="s">
        <v>518</v>
      </c>
      <c r="I141" s="18" t="s">
        <v>98</v>
      </c>
      <c r="J141" s="18" t="s">
        <v>78</v>
      </c>
      <c r="K141" s="18">
        <v>148907.34</v>
      </c>
      <c r="L141" s="18" t="s">
        <v>117</v>
      </c>
      <c r="M141" s="18">
        <v>5037</v>
      </c>
      <c r="N141" s="18" t="s">
        <v>118</v>
      </c>
      <c r="O141" s="18">
        <v>17</v>
      </c>
      <c r="P141" s="18" t="s">
        <v>123</v>
      </c>
      <c r="Q141" s="18" t="s">
        <v>110</v>
      </c>
      <c r="R141" s="24">
        <f t="shared" ca="1" si="6"/>
        <v>49.961643835616435</v>
      </c>
      <c r="S141" s="24">
        <f t="shared" ca="1" si="7"/>
        <v>2.3287671232876712</v>
      </c>
    </row>
    <row r="142" spans="1:19" x14ac:dyDescent="0.5">
      <c r="A142" s="18">
        <f t="shared" si="8"/>
        <v>1141</v>
      </c>
      <c r="B142" s="18" t="s">
        <v>519</v>
      </c>
      <c r="C142" s="18" t="s">
        <v>90</v>
      </c>
      <c r="D142" s="19">
        <v>33038</v>
      </c>
      <c r="E142" s="18" t="s">
        <v>520</v>
      </c>
      <c r="F142" s="20">
        <v>45255.13071759259</v>
      </c>
      <c r="G142" s="18">
        <v>2432218638</v>
      </c>
      <c r="H142" s="18" t="s">
        <v>521</v>
      </c>
      <c r="I142" s="18" t="s">
        <v>98</v>
      </c>
      <c r="J142" s="18" t="s">
        <v>78</v>
      </c>
      <c r="K142" s="18">
        <v>129031.87</v>
      </c>
      <c r="L142" s="18" t="s">
        <v>79</v>
      </c>
      <c r="M142" s="18">
        <v>5020</v>
      </c>
      <c r="N142" s="18" t="s">
        <v>108</v>
      </c>
      <c r="O142" s="18">
        <v>14</v>
      </c>
      <c r="P142" s="18" t="s">
        <v>119</v>
      </c>
      <c r="Q142" s="18" t="s">
        <v>110</v>
      </c>
      <c r="R142" s="24">
        <f t="shared" ca="1" si="6"/>
        <v>35.799999999999997</v>
      </c>
      <c r="S142" s="24">
        <f t="shared" ca="1" si="7"/>
        <v>2.3287671232876712</v>
      </c>
    </row>
    <row r="143" spans="1:19" x14ac:dyDescent="0.5">
      <c r="A143" s="18">
        <f t="shared" si="8"/>
        <v>1142</v>
      </c>
      <c r="B143" s="18" t="s">
        <v>522</v>
      </c>
      <c r="C143" s="18" t="s">
        <v>90</v>
      </c>
      <c r="D143" s="19">
        <v>34562</v>
      </c>
      <c r="E143" s="18" t="s">
        <v>523</v>
      </c>
      <c r="F143" s="20">
        <v>45259.844652777778</v>
      </c>
      <c r="G143" s="18">
        <v>4156830292</v>
      </c>
      <c r="H143" s="18" t="s">
        <v>524</v>
      </c>
      <c r="I143" s="18" t="s">
        <v>86</v>
      </c>
      <c r="J143" s="18" t="s">
        <v>103</v>
      </c>
      <c r="K143" s="18">
        <v>133636</v>
      </c>
      <c r="L143" s="18" t="s">
        <v>79</v>
      </c>
      <c r="M143" s="18">
        <v>5021</v>
      </c>
      <c r="N143" s="18" t="s">
        <v>93</v>
      </c>
      <c r="O143" s="18">
        <v>16</v>
      </c>
      <c r="P143" s="18" t="s">
        <v>123</v>
      </c>
      <c r="Q143" s="18" t="s">
        <v>110</v>
      </c>
      <c r="R143" s="24">
        <f t="shared" ca="1" si="6"/>
        <v>31.624657534246577</v>
      </c>
      <c r="S143" s="24">
        <f t="shared" ca="1" si="7"/>
        <v>2.3178082191780822</v>
      </c>
    </row>
    <row r="144" spans="1:19" x14ac:dyDescent="0.5">
      <c r="A144" s="18">
        <f t="shared" si="8"/>
        <v>1143</v>
      </c>
      <c r="B144" s="18" t="s">
        <v>525</v>
      </c>
      <c r="C144" s="18" t="s">
        <v>74</v>
      </c>
      <c r="D144" s="19">
        <v>38832</v>
      </c>
      <c r="E144" s="18" t="s">
        <v>526</v>
      </c>
      <c r="F144" s="20">
        <v>45259.844652777778</v>
      </c>
      <c r="G144" s="18">
        <v>1221913769</v>
      </c>
      <c r="H144" s="18" t="s">
        <v>527</v>
      </c>
      <c r="I144" s="18" t="s">
        <v>86</v>
      </c>
      <c r="J144" s="18" t="s">
        <v>78</v>
      </c>
      <c r="K144" s="18">
        <v>141179.75</v>
      </c>
      <c r="L144" s="18" t="s">
        <v>79</v>
      </c>
      <c r="M144" s="18">
        <v>5030</v>
      </c>
      <c r="N144" s="18" t="s">
        <v>118</v>
      </c>
      <c r="O144" s="18">
        <v>21</v>
      </c>
      <c r="P144" s="18" t="s">
        <v>123</v>
      </c>
      <c r="Q144" s="18" t="s">
        <v>110</v>
      </c>
      <c r="R144" s="24">
        <f t="shared" ca="1" si="6"/>
        <v>19.926027397260274</v>
      </c>
      <c r="S144" s="24">
        <f t="shared" ca="1" si="7"/>
        <v>2.3178082191780822</v>
      </c>
    </row>
    <row r="145" spans="1:19" x14ac:dyDescent="0.5">
      <c r="A145" s="18">
        <f t="shared" si="8"/>
        <v>1144</v>
      </c>
      <c r="B145" s="18" t="s">
        <v>528</v>
      </c>
      <c r="C145" s="18" t="s">
        <v>90</v>
      </c>
      <c r="D145" s="19">
        <v>33042</v>
      </c>
      <c r="E145" s="18" t="s">
        <v>529</v>
      </c>
      <c r="F145" s="20">
        <v>45266.513518518521</v>
      </c>
      <c r="G145" s="18">
        <v>5223111585</v>
      </c>
      <c r="H145" s="18" t="s">
        <v>530</v>
      </c>
      <c r="I145" s="18" t="s">
        <v>98</v>
      </c>
      <c r="J145" s="18" t="s">
        <v>103</v>
      </c>
      <c r="K145" s="18">
        <v>128759.05</v>
      </c>
      <c r="L145" s="18" t="s">
        <v>127</v>
      </c>
      <c r="M145" s="18">
        <v>5035</v>
      </c>
      <c r="N145" s="18" t="s">
        <v>93</v>
      </c>
      <c r="O145" s="18">
        <v>18</v>
      </c>
      <c r="P145" s="18" t="s">
        <v>123</v>
      </c>
      <c r="Q145" s="18" t="s">
        <v>110</v>
      </c>
      <c r="R145" s="24">
        <f t="shared" ca="1" si="6"/>
        <v>35.789041095890411</v>
      </c>
      <c r="S145" s="24">
        <f t="shared" ca="1" si="7"/>
        <v>2.2986301369863016</v>
      </c>
    </row>
    <row r="146" spans="1:19" x14ac:dyDescent="0.5">
      <c r="A146" s="18">
        <f t="shared" si="8"/>
        <v>1145</v>
      </c>
      <c r="B146" s="18" t="s">
        <v>531</v>
      </c>
      <c r="C146" s="18" t="s">
        <v>74</v>
      </c>
      <c r="D146" s="19">
        <v>26885</v>
      </c>
      <c r="E146" s="18" t="s">
        <v>532</v>
      </c>
      <c r="F146" s="20">
        <v>45272.465983796297</v>
      </c>
      <c r="G146" s="18">
        <v>378079407</v>
      </c>
      <c r="H146" s="18" t="s">
        <v>533</v>
      </c>
      <c r="I146" s="18" t="s">
        <v>98</v>
      </c>
      <c r="J146" s="18" t="s">
        <v>78</v>
      </c>
      <c r="K146" s="18">
        <v>107865.59</v>
      </c>
      <c r="L146" s="18" t="s">
        <v>79</v>
      </c>
      <c r="M146" s="18">
        <v>5043</v>
      </c>
      <c r="N146" s="18" t="s">
        <v>80</v>
      </c>
      <c r="O146" s="18">
        <v>20</v>
      </c>
      <c r="P146" s="18" t="s">
        <v>119</v>
      </c>
      <c r="Q146" s="18" t="s">
        <v>110</v>
      </c>
      <c r="R146" s="24">
        <f t="shared" ca="1" si="6"/>
        <v>52.657534246575345</v>
      </c>
      <c r="S146" s="24">
        <f t="shared" ca="1" si="7"/>
        <v>2.2821917808219179</v>
      </c>
    </row>
    <row r="147" spans="1:19" x14ac:dyDescent="0.5">
      <c r="A147" s="18">
        <f t="shared" si="8"/>
        <v>1146</v>
      </c>
      <c r="B147" s="18" t="s">
        <v>534</v>
      </c>
      <c r="C147" s="18" t="s">
        <v>90</v>
      </c>
      <c r="D147" s="19">
        <v>34223</v>
      </c>
      <c r="E147" s="18" t="s">
        <v>535</v>
      </c>
      <c r="F147" s="20">
        <v>45302.895115740743</v>
      </c>
      <c r="G147" s="18">
        <v>3521077034</v>
      </c>
      <c r="H147" s="18" t="s">
        <v>536</v>
      </c>
      <c r="I147" s="18" t="s">
        <v>86</v>
      </c>
      <c r="J147" s="18" t="s">
        <v>78</v>
      </c>
      <c r="K147" s="18">
        <v>61232.45</v>
      </c>
      <c r="L147" s="18" t="s">
        <v>127</v>
      </c>
      <c r="M147" s="18">
        <v>5018</v>
      </c>
      <c r="N147" s="18" t="s">
        <v>87</v>
      </c>
      <c r="O147" s="18">
        <v>8</v>
      </c>
      <c r="P147" s="18" t="s">
        <v>146</v>
      </c>
      <c r="Q147" s="18" t="s">
        <v>82</v>
      </c>
      <c r="R147" s="24">
        <f t="shared" ca="1" si="6"/>
        <v>32.553424657534244</v>
      </c>
      <c r="S147" s="24">
        <f t="shared" ca="1" si="7"/>
        <v>2.2000000000000002</v>
      </c>
    </row>
    <row r="148" spans="1:19" x14ac:dyDescent="0.5">
      <c r="A148" s="18">
        <f t="shared" si="8"/>
        <v>1147</v>
      </c>
      <c r="B148" s="18" t="s">
        <v>537</v>
      </c>
      <c r="C148" s="18" t="s">
        <v>90</v>
      </c>
      <c r="D148" s="19">
        <v>29046</v>
      </c>
      <c r="E148" s="18" t="s">
        <v>538</v>
      </c>
      <c r="F148" s="20">
        <v>45317.185127314813</v>
      </c>
      <c r="G148" s="18">
        <v>8632974262</v>
      </c>
      <c r="H148" s="18" t="s">
        <v>539</v>
      </c>
      <c r="I148" s="18" t="s">
        <v>98</v>
      </c>
      <c r="J148" s="18" t="s">
        <v>78</v>
      </c>
      <c r="K148" s="18">
        <v>66324.75</v>
      </c>
      <c r="L148" s="18" t="s">
        <v>104</v>
      </c>
      <c r="M148" s="18">
        <v>5012</v>
      </c>
      <c r="N148" s="18" t="s">
        <v>108</v>
      </c>
      <c r="O148" s="18">
        <v>7</v>
      </c>
      <c r="P148" s="18" t="s">
        <v>119</v>
      </c>
      <c r="Q148" s="18" t="s">
        <v>110</v>
      </c>
      <c r="R148" s="24">
        <f t="shared" ca="1" si="6"/>
        <v>46.736986301369861</v>
      </c>
      <c r="S148" s="24">
        <f t="shared" ca="1" si="7"/>
        <v>2.1589041095890411</v>
      </c>
    </row>
    <row r="149" spans="1:19" x14ac:dyDescent="0.5">
      <c r="A149" s="18">
        <f t="shared" si="8"/>
        <v>1148</v>
      </c>
      <c r="B149" s="18" t="s">
        <v>540</v>
      </c>
      <c r="C149" s="18" t="s">
        <v>90</v>
      </c>
      <c r="D149" s="21">
        <v>34634</v>
      </c>
      <c r="E149" s="18" t="s">
        <v>541</v>
      </c>
      <c r="F149" s="20">
        <v>45332.73709490741</v>
      </c>
      <c r="G149" s="18">
        <v>3940204787</v>
      </c>
      <c r="H149" s="18" t="s">
        <v>542</v>
      </c>
      <c r="I149" s="18" t="s">
        <v>98</v>
      </c>
      <c r="J149" s="18" t="s">
        <v>103</v>
      </c>
      <c r="K149" s="18">
        <v>104699.09</v>
      </c>
      <c r="L149" s="18" t="s">
        <v>79</v>
      </c>
      <c r="M149" s="18">
        <v>5017</v>
      </c>
      <c r="N149" s="18" t="s">
        <v>87</v>
      </c>
      <c r="O149" s="18">
        <v>3</v>
      </c>
      <c r="P149" s="18" t="s">
        <v>119</v>
      </c>
      <c r="Q149" s="18" t="s">
        <v>110</v>
      </c>
      <c r="R149" s="24">
        <f t="shared" ca="1" si="6"/>
        <v>31.427397260273974</v>
      </c>
      <c r="S149" s="24">
        <f t="shared" ca="1" si="7"/>
        <v>2.117808219178082</v>
      </c>
    </row>
    <row r="150" spans="1:19" x14ac:dyDescent="0.5">
      <c r="A150" s="18">
        <f t="shared" si="8"/>
        <v>1149</v>
      </c>
      <c r="B150" s="18" t="s">
        <v>543</v>
      </c>
      <c r="C150" s="18" t="s">
        <v>74</v>
      </c>
      <c r="D150" s="21">
        <v>34283</v>
      </c>
      <c r="E150" s="18" t="s">
        <v>544</v>
      </c>
      <c r="F150" s="20">
        <v>45333.308680555558</v>
      </c>
      <c r="G150" s="18">
        <v>9155216019</v>
      </c>
      <c r="H150" s="18" t="s">
        <v>545</v>
      </c>
      <c r="I150" s="18" t="s">
        <v>77</v>
      </c>
      <c r="J150" s="18" t="s">
        <v>78</v>
      </c>
      <c r="K150" s="18">
        <v>97313.22</v>
      </c>
      <c r="L150" s="18" t="s">
        <v>79</v>
      </c>
      <c r="M150" s="18">
        <v>5005</v>
      </c>
      <c r="N150" s="18" t="s">
        <v>93</v>
      </c>
      <c r="O150" s="18">
        <v>5</v>
      </c>
      <c r="P150" s="18" t="s">
        <v>119</v>
      </c>
      <c r="Q150" s="18" t="s">
        <v>110</v>
      </c>
      <c r="R150" s="24">
        <f t="shared" ca="1" si="6"/>
        <v>32.389041095890413</v>
      </c>
      <c r="S150" s="24">
        <f t="shared" ca="1" si="7"/>
        <v>2.1150684931506851</v>
      </c>
    </row>
    <row r="151" spans="1:19" x14ac:dyDescent="0.5">
      <c r="A151" s="18">
        <f t="shared" si="8"/>
        <v>1150</v>
      </c>
      <c r="B151" s="18" t="s">
        <v>546</v>
      </c>
      <c r="C151" s="18" t="s">
        <v>74</v>
      </c>
      <c r="D151" s="21">
        <v>38275</v>
      </c>
      <c r="E151" s="18" t="s">
        <v>547</v>
      </c>
      <c r="F151" s="20">
        <v>45442.449166666665</v>
      </c>
      <c r="G151" s="18">
        <v>2692886511</v>
      </c>
      <c r="H151" s="18" t="s">
        <v>548</v>
      </c>
      <c r="I151" s="18" t="s">
        <v>77</v>
      </c>
      <c r="J151" s="18" t="s">
        <v>103</v>
      </c>
      <c r="K151" s="18">
        <v>78412.11</v>
      </c>
      <c r="L151" s="18" t="s">
        <v>79</v>
      </c>
      <c r="M151" s="18">
        <v>5037</v>
      </c>
      <c r="N151" s="18" t="s">
        <v>118</v>
      </c>
      <c r="O151" s="18">
        <v>10</v>
      </c>
      <c r="P151" s="18" t="s">
        <v>119</v>
      </c>
      <c r="Q151" s="18" t="s">
        <v>110</v>
      </c>
      <c r="R151" s="24">
        <f t="shared" ca="1" si="6"/>
        <v>21.452054794520549</v>
      </c>
      <c r="S151" s="24">
        <f t="shared" ca="1" si="7"/>
        <v>1.8164383561643835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8E45-EEA8-439C-B106-E2CE8A41D29F}">
  <sheetPr codeName="Sheet12"/>
  <dimension ref="A1:M16"/>
  <sheetViews>
    <sheetView showGridLines="0" zoomScale="130" zoomScaleNormal="120" workbookViewId="0">
      <selection activeCell="D7" sqref="D7"/>
    </sheetView>
  </sheetViews>
  <sheetFormatPr defaultColWidth="8.86328125" defaultRowHeight="15.75" x14ac:dyDescent="0.5"/>
  <cols>
    <col min="1" max="1" width="6.265625" style="6" bestFit="1" customWidth="1"/>
    <col min="2" max="2" width="24.73046875" style="6" bestFit="1" customWidth="1"/>
    <col min="3" max="3" width="15.86328125" style="6" bestFit="1" customWidth="1"/>
    <col min="4" max="4" width="13.265625" style="6" bestFit="1" customWidth="1"/>
    <col min="5" max="5" width="13.1328125" style="6" bestFit="1" customWidth="1"/>
    <col min="6" max="6" width="14.73046875" style="6" bestFit="1" customWidth="1"/>
    <col min="7" max="7" width="18.3984375" style="6" bestFit="1" customWidth="1"/>
    <col min="8" max="9" width="6.265625" style="1" customWidth="1"/>
    <col min="10" max="10" width="9.73046875" style="1" bestFit="1" customWidth="1"/>
    <col min="11" max="16384" width="8.86328125" style="1"/>
  </cols>
  <sheetData>
    <row r="1" spans="1:13" x14ac:dyDescent="0.5">
      <c r="A1" s="3" t="s">
        <v>0</v>
      </c>
      <c r="B1" s="3" t="s">
        <v>1</v>
      </c>
      <c r="C1" s="3" t="s">
        <v>23</v>
      </c>
      <c r="D1" s="3" t="s">
        <v>2</v>
      </c>
      <c r="E1" s="3" t="s">
        <v>3</v>
      </c>
      <c r="F1" s="3" t="s">
        <v>4</v>
      </c>
      <c r="G1" s="4" t="s">
        <v>24</v>
      </c>
    </row>
    <row r="2" spans="1:13" x14ac:dyDescent="0.5">
      <c r="A2" s="5">
        <v>1</v>
      </c>
      <c r="B2" s="5" t="s">
        <v>5</v>
      </c>
      <c r="C2" s="5">
        <v>311</v>
      </c>
      <c r="D2" s="5">
        <v>9.32</v>
      </c>
      <c r="E2" s="5">
        <v>141</v>
      </c>
      <c r="F2" s="5" t="s">
        <v>6</v>
      </c>
      <c r="G2" s="6" t="str" cm="1">
        <f t="array" ref="G2">_xlfn.IFS(C2&gt;100,"Centi Billionaire",C2&lt;100,"Multi Billionaire",C2=100,"Centi Billionaire")</f>
        <v>Centi Billionaire</v>
      </c>
      <c r="H2" s="2" t="str">
        <f>_xlfn.IFS(C2&lt;100,"Multi Billionaire",C2&gt;100,"Centi Billionaire")</f>
        <v>Centi Billionaire</v>
      </c>
      <c r="I2" s="2"/>
    </row>
    <row r="3" spans="1:13" x14ac:dyDescent="0.5">
      <c r="A3" s="5">
        <v>2</v>
      </c>
      <c r="B3" s="5" t="s">
        <v>7</v>
      </c>
      <c r="C3" s="5">
        <v>195</v>
      </c>
      <c r="D3" s="5">
        <v>3.79</v>
      </c>
      <c r="E3" s="5">
        <v>5.0599999999999996</v>
      </c>
      <c r="F3" s="5" t="s">
        <v>6</v>
      </c>
      <c r="G3" s="6" t="str" cm="1">
        <f t="array" ref="G3">_xlfn.IFS(C3&gt;100,"Centi Billionaire",C3&lt;100,"Multi Billionaire",C3=100,"Centi Billionaire")</f>
        <v>Centi Billionaire</v>
      </c>
      <c r="H3" s="2" t="str">
        <f t="shared" ref="H3:H16" si="0">_xlfn.IFS(C3&lt;100,"Multi Billionaire",C3&gt;100,"Centi Billionaire")</f>
        <v>Centi Billionaire</v>
      </c>
      <c r="I3" s="2"/>
    </row>
    <row r="4" spans="1:13" x14ac:dyDescent="0.5">
      <c r="A4" s="5">
        <v>3</v>
      </c>
      <c r="B4" s="5" t="s">
        <v>8</v>
      </c>
      <c r="C4" s="5">
        <v>167</v>
      </c>
      <c r="D4" s="5">
        <v>544</v>
      </c>
      <c r="E4" s="5">
        <v>52.7</v>
      </c>
      <c r="F4" s="5" t="s">
        <v>9</v>
      </c>
      <c r="G4" s="6" t="str" cm="1">
        <f t="array" ref="G4">_xlfn.IFS(C4&gt;100,"Centi Billionaire",C4&lt;100,"Multi Billionaire",C4=100,"Centi Billionaire")</f>
        <v>Centi Billionaire</v>
      </c>
      <c r="H4" s="2" t="str">
        <f t="shared" si="0"/>
        <v>Centi Billionaire</v>
      </c>
      <c r="I4" s="2"/>
    </row>
    <row r="5" spans="1:13" x14ac:dyDescent="0.5">
      <c r="A5" s="5">
        <v>4</v>
      </c>
      <c r="B5" s="5" t="s">
        <v>10</v>
      </c>
      <c r="C5" s="5">
        <v>136</v>
      </c>
      <c r="D5" s="5">
        <v>906</v>
      </c>
      <c r="E5" s="5">
        <v>4.4000000000000004</v>
      </c>
      <c r="F5" s="5" t="s">
        <v>6</v>
      </c>
      <c r="G5" s="6" t="str" cm="1">
        <f t="array" ref="G5">_xlfn.IFS(C5&gt;100,"Centi Billionaire",C5&lt;100,"Multi Billionaire",C5=100,"Centi Billionaire")</f>
        <v>Centi Billionaire</v>
      </c>
      <c r="H5" s="2" t="str">
        <f t="shared" si="0"/>
        <v>Centi Billionaire</v>
      </c>
      <c r="I5" s="2"/>
    </row>
    <row r="6" spans="1:13" x14ac:dyDescent="0.5">
      <c r="A6" s="5">
        <v>5</v>
      </c>
      <c r="B6" s="5" t="s">
        <v>11</v>
      </c>
      <c r="C6" s="5">
        <v>131</v>
      </c>
      <c r="D6" s="5">
        <v>1.71</v>
      </c>
      <c r="E6" s="5">
        <v>48.7</v>
      </c>
      <c r="F6" s="5" t="s">
        <v>6</v>
      </c>
      <c r="G6" s="6" t="str" cm="1">
        <f t="array" ref="G6">_xlfn.IFS(C6&gt;100,"Centi Billionaire",C6&lt;100,"Multi Billionaire",C6=100,"Centi Billionaire")</f>
        <v>Centi Billionaire</v>
      </c>
      <c r="H6" s="2" t="str">
        <f t="shared" si="0"/>
        <v>Centi Billionaire</v>
      </c>
      <c r="I6" s="2"/>
    </row>
    <row r="7" spans="1:13" ht="14.45" customHeight="1" x14ac:dyDescent="0.5">
      <c r="A7" s="5">
        <v>6</v>
      </c>
      <c r="B7" s="5" t="s">
        <v>12</v>
      </c>
      <c r="C7" s="5">
        <v>126</v>
      </c>
      <c r="D7" s="5">
        <v>1.64</v>
      </c>
      <c r="E7" s="5">
        <v>46.7</v>
      </c>
      <c r="F7" s="5" t="s">
        <v>6</v>
      </c>
      <c r="G7" s="6" t="str" cm="1">
        <f t="array" ref="G7">_xlfn.IFS(C7&gt;100,"Centi Billionaire",C7&lt;100,"Multi Billionaire",C7=100,"Centi Billionaire")</f>
        <v>Centi Billionaire</v>
      </c>
      <c r="H7" s="2" t="str">
        <f t="shared" si="0"/>
        <v>Centi Billionaire</v>
      </c>
      <c r="I7" s="2"/>
      <c r="J7" s="23" t="s">
        <v>34</v>
      </c>
      <c r="K7" s="23"/>
      <c r="L7" s="23"/>
      <c r="M7" s="23"/>
    </row>
    <row r="8" spans="1:13" x14ac:dyDescent="0.5">
      <c r="A8" s="5">
        <v>7</v>
      </c>
      <c r="B8" s="5" t="s">
        <v>13</v>
      </c>
      <c r="C8" s="5">
        <v>100</v>
      </c>
      <c r="D8" s="5">
        <v>2.4</v>
      </c>
      <c r="E8" s="5">
        <v>17.3</v>
      </c>
      <c r="F8" s="5" t="s">
        <v>6</v>
      </c>
      <c r="G8" s="6" t="e" cm="1">
        <f t="array" ref="G8">_xlfn.IFS(C8&gt;100,"Centi Billionaire",C8&lt;100,"Multi Billionaire")</f>
        <v>#N/A</v>
      </c>
      <c r="H8" s="2" t="e">
        <f t="shared" si="0"/>
        <v>#N/A</v>
      </c>
      <c r="I8" s="2"/>
      <c r="J8" s="23"/>
      <c r="K8" s="23"/>
      <c r="L8" s="23"/>
      <c r="M8" s="23"/>
    </row>
    <row r="9" spans="1:13" x14ac:dyDescent="0.5">
      <c r="A9" s="5">
        <v>8</v>
      </c>
      <c r="B9" s="5" t="s">
        <v>14</v>
      </c>
      <c r="C9" s="5">
        <v>118</v>
      </c>
      <c r="D9" s="5">
        <v>2.42</v>
      </c>
      <c r="E9" s="5">
        <v>37.6</v>
      </c>
      <c r="F9" s="5" t="s">
        <v>6</v>
      </c>
      <c r="G9" s="6" t="str" cm="1">
        <f t="array" ref="G9">_xlfn.IFS(C9&gt;100,"Centi Billionaire",C9&lt;100,"Multi Billionaire",C9=100,"Centi Billionaire")</f>
        <v>Centi Billionaire</v>
      </c>
      <c r="H9" s="2" t="str">
        <f t="shared" si="0"/>
        <v>Centi Billionaire</v>
      </c>
      <c r="I9" s="2"/>
      <c r="J9" s="23"/>
      <c r="K9" s="23"/>
      <c r="L9" s="23"/>
      <c r="M9" s="23"/>
    </row>
    <row r="10" spans="1:13" x14ac:dyDescent="0.5">
      <c r="A10" s="5">
        <v>9</v>
      </c>
      <c r="B10" s="5" t="s">
        <v>15</v>
      </c>
      <c r="C10" s="5">
        <v>115</v>
      </c>
      <c r="D10" s="5">
        <v>331</v>
      </c>
      <c r="E10" s="5">
        <v>35.4</v>
      </c>
      <c r="F10" s="5" t="s">
        <v>6</v>
      </c>
      <c r="G10" s="6" t="str" cm="1">
        <f t="array" ref="G10">_xlfn.IFS(C10&gt;100,"Centi Billionaire",C10&lt;100,"Multi Billionaire",C10=100,"Centi Billionaire")</f>
        <v>Centi Billionaire</v>
      </c>
      <c r="H10" s="2" t="str">
        <f t="shared" si="0"/>
        <v>Centi Billionaire</v>
      </c>
      <c r="I10" s="2"/>
      <c r="J10" s="23"/>
      <c r="K10" s="23"/>
      <c r="L10" s="23"/>
      <c r="M10" s="23"/>
    </row>
    <row r="11" spans="1:13" x14ac:dyDescent="0.5">
      <c r="A11" s="5">
        <v>10</v>
      </c>
      <c r="B11" s="5" t="s">
        <v>16</v>
      </c>
      <c r="C11" s="5">
        <v>105</v>
      </c>
      <c r="D11" s="5">
        <v>800</v>
      </c>
      <c r="E11" s="5">
        <v>17</v>
      </c>
      <c r="F11" s="5" t="s">
        <v>6</v>
      </c>
      <c r="G11" s="6" t="str" cm="1">
        <f t="array" ref="G11">_xlfn.IFS(C11&gt;100,"Centi Billionaire",C11&lt;100,"Multi Billionaire",C11=100,"Centi Billionaire")</f>
        <v>Centi Billionaire</v>
      </c>
      <c r="H11" s="2" t="str">
        <f t="shared" si="0"/>
        <v>Centi Billionaire</v>
      </c>
      <c r="I11" s="2"/>
      <c r="J11" s="23"/>
      <c r="K11" s="23"/>
      <c r="L11" s="23"/>
      <c r="M11" s="23"/>
    </row>
    <row r="12" spans="1:13" x14ac:dyDescent="0.5">
      <c r="A12" s="5">
        <v>11</v>
      </c>
      <c r="B12" s="5" t="s">
        <v>17</v>
      </c>
      <c r="C12" s="5">
        <v>95.8</v>
      </c>
      <c r="D12" s="5">
        <v>2.56</v>
      </c>
      <c r="E12" s="5">
        <v>19.100000000000001</v>
      </c>
      <c r="F12" s="5" t="s">
        <v>18</v>
      </c>
      <c r="G12" s="6" t="str" cm="1">
        <f t="array" ref="G12">_xlfn.IFS(C12&gt;100,"Centi Billionaire",C12&lt;100,"Multi Billionaire",C12=100,"Centi Billionaire")</f>
        <v>Multi Billionaire</v>
      </c>
      <c r="H12" s="2" t="str">
        <f t="shared" si="0"/>
        <v>Multi Billionaire</v>
      </c>
      <c r="I12" s="2"/>
      <c r="J12" s="23"/>
      <c r="K12" s="23"/>
      <c r="L12" s="23"/>
      <c r="M12" s="23"/>
    </row>
    <row r="13" spans="1:13" x14ac:dyDescent="0.5">
      <c r="A13" s="5">
        <v>12</v>
      </c>
      <c r="B13" s="5" t="s">
        <v>25</v>
      </c>
      <c r="C13" s="5">
        <v>90.4</v>
      </c>
      <c r="D13" s="5">
        <v>597</v>
      </c>
      <c r="E13" s="5">
        <v>14.6</v>
      </c>
      <c r="F13" s="5" t="s">
        <v>9</v>
      </c>
      <c r="G13" s="6" t="str" cm="1">
        <f t="array" ref="G13">_xlfn.IFS(C13&gt;100,"Centi Billionaire",C13&lt;100,"Multi Billionaire",C13=100,"Centi Billionaire")</f>
        <v>Multi Billionaire</v>
      </c>
      <c r="H13" s="2" t="str">
        <f t="shared" si="0"/>
        <v>Multi Billionaire</v>
      </c>
      <c r="I13" s="2"/>
      <c r="J13" s="23"/>
      <c r="K13" s="23"/>
      <c r="L13" s="23"/>
      <c r="M13" s="23"/>
    </row>
    <row r="14" spans="1:13" x14ac:dyDescent="0.5">
      <c r="A14" s="5">
        <v>13</v>
      </c>
      <c r="B14" s="5" t="s">
        <v>19</v>
      </c>
      <c r="C14" s="5">
        <v>99.65</v>
      </c>
      <c r="D14" s="5">
        <v>2.52</v>
      </c>
      <c r="E14" s="5">
        <v>43.3</v>
      </c>
      <c r="F14" s="5" t="s">
        <v>18</v>
      </c>
      <c r="G14" s="6" t="str" cm="1">
        <f t="array" ref="G14">_xlfn.IFS(C14&gt;100,"Centi Billionaire",C14&lt;100,"Multi Billionaire",C14=100,"Centi Billionaire")</f>
        <v>Multi Billionaire</v>
      </c>
      <c r="H14" s="2" t="str">
        <f t="shared" si="0"/>
        <v>Multi Billionaire</v>
      </c>
      <c r="I14" s="2"/>
      <c r="J14" s="23"/>
      <c r="K14" s="23"/>
      <c r="L14" s="23"/>
      <c r="M14" s="23"/>
    </row>
    <row r="15" spans="1:13" x14ac:dyDescent="0.5">
      <c r="A15" s="5">
        <v>14</v>
      </c>
      <c r="B15" s="5" t="s">
        <v>20</v>
      </c>
      <c r="C15" s="5">
        <v>77</v>
      </c>
      <c r="D15" s="5">
        <v>532</v>
      </c>
      <c r="E15" s="5">
        <v>10.5</v>
      </c>
      <c r="F15" s="5" t="s">
        <v>21</v>
      </c>
      <c r="G15" s="6" t="str" cm="1">
        <f t="array" ref="G15">_xlfn.IFS(C15&gt;100,"Centi Billionaire",C15&lt;100,"Multi Billionaire",C15=100,"Centi Billionaire")</f>
        <v>Multi Billionaire</v>
      </c>
      <c r="H15" s="2" t="str">
        <f t="shared" si="0"/>
        <v>Multi Billionaire</v>
      </c>
      <c r="I15" s="2"/>
      <c r="J15" s="23"/>
      <c r="K15" s="23"/>
      <c r="L15" s="23"/>
      <c r="M15" s="23"/>
    </row>
    <row r="16" spans="1:13" x14ac:dyDescent="0.5">
      <c r="A16" s="5">
        <v>15</v>
      </c>
      <c r="B16" s="5" t="s">
        <v>22</v>
      </c>
      <c r="C16" s="5">
        <v>66.5</v>
      </c>
      <c r="D16" s="5">
        <v>315</v>
      </c>
      <c r="E16" s="5">
        <v>4.0199999999999996</v>
      </c>
      <c r="F16" s="5" t="s">
        <v>6</v>
      </c>
      <c r="G16" s="6" t="str" cm="1">
        <f t="array" ref="G16">_xlfn.IFS(C16&gt;100,"Centi Billionaire",C16&lt;100,"Multi Billionaire",C16=100,"Centi Billionaire")</f>
        <v>Multi Billionaire</v>
      </c>
      <c r="H16" s="2" t="str">
        <f t="shared" si="0"/>
        <v>Multi Billionaire</v>
      </c>
      <c r="I16" s="2"/>
    </row>
  </sheetData>
  <customSheetViews>
    <customSheetView guid="{576A445C-3D9A-438D-AC68-B679E3D65634}" scale="130" showGridLines="0" state="hidden">
      <selection activeCell="D7" sqref="D7"/>
      <pageMargins left="0.7" right="0.7" top="0.75" bottom="0.75" header="0.3" footer="0.3"/>
      <pageSetup orientation="portrait" r:id="rId1"/>
    </customSheetView>
    <customSheetView guid="{C1FEC2CE-0AE0-4F12-8438-BD3D230D3830}" scale="130" showGridLines="0" state="hidden">
      <selection activeCell="D7" sqref="D7"/>
      <pageMargins left="0.7" right="0.7" top="0.75" bottom="0.75" header="0.3" footer="0.3"/>
      <pageSetup orientation="portrait" r:id="rId2"/>
    </customSheetView>
    <customSheetView guid="{A3C7F73E-8288-4122-801A-9A426BB0DFB8}" scale="130" showGridLines="0" state="hidden">
      <selection activeCell="D7" sqref="D7"/>
      <pageMargins left="0.7" right="0.7" top="0.75" bottom="0.75" header="0.3" footer="0.3"/>
      <pageSetup orientation="portrait" r:id="rId3"/>
    </customSheetView>
    <customSheetView guid="{F102CDDA-1DB7-4BD5-8A8F-CD5640485596}" scale="130" showGridLines="0" state="hidden">
      <selection activeCell="D7" sqref="D7"/>
      <pageMargins left="0.7" right="0.7" top="0.75" bottom="0.75" header="0.3" footer="0.3"/>
      <pageSetup orientation="portrait" r:id="rId4"/>
    </customSheetView>
    <customSheetView guid="{E18774DE-EF27-4708-91D7-FE2A7EE4C992}" scale="130" showGridLines="0" state="hidden">
      <selection activeCell="D7" sqref="D7"/>
      <pageMargins left="0.7" right="0.7" top="0.75" bottom="0.75" header="0.3" footer="0.3"/>
      <pageSetup orientation="portrait" r:id="rId5"/>
    </customSheetView>
    <customSheetView guid="{E3977DAC-58A9-43A5-A2CD-037AE84A3934}" scale="130" showGridLines="0" state="hidden">
      <selection activeCell="D7" sqref="D7"/>
      <pageMargins left="0.7" right="0.7" top="0.75" bottom="0.75" header="0.3" footer="0.3"/>
      <pageSetup orientation="portrait" r:id="rId6"/>
    </customSheetView>
    <customSheetView guid="{0BFB30CE-F6D9-44B3-99BA-62858BF46600}" scale="130" showGridLines="0" state="hidden">
      <selection activeCell="D7" sqref="D7"/>
      <pageMargins left="0.7" right="0.7" top="0.75" bottom="0.75" header="0.3" footer="0.3"/>
      <pageSetup orientation="portrait" r:id="rId7"/>
    </customSheetView>
    <customSheetView guid="{EF2006E2-DE9B-4938-AD6F-8255BE7D529F}" scale="130" showGridLines="0" state="hidden">
      <selection activeCell="D7" sqref="D7"/>
      <pageMargins left="0.7" right="0.7" top="0.75" bottom="0.75" header="0.3" footer="0.3"/>
      <pageSetup orientation="portrait" r:id="rId8"/>
    </customSheetView>
    <customSheetView guid="{5B4753E1-B7DC-40C2-A28F-B07A6CB075FE}" scale="130" showGridLines="0" state="hidden">
      <selection activeCell="D7" sqref="D7"/>
      <pageMargins left="0.7" right="0.7" top="0.75" bottom="0.75" header="0.3" footer="0.3"/>
      <pageSetup orientation="portrait" r:id="rId9"/>
    </customSheetView>
    <customSheetView guid="{672B3D91-11D6-418C-A856-9FF74CE5E6FB}" scale="130" showGridLines="0" state="hidden">
      <selection activeCell="D7" sqref="D7"/>
      <pageMargins left="0.7" right="0.7" top="0.75" bottom="0.75" header="0.3" footer="0.3"/>
      <pageSetup orientation="portrait" r:id="rId10"/>
    </customSheetView>
    <customSheetView guid="{E712F22D-DF79-4936-B86B-186E637372BF}" scale="130" showGridLines="0" state="hidden">
      <selection activeCell="D7" sqref="D7"/>
      <pageMargins left="0.7" right="0.7" top="0.75" bottom="0.75" header="0.3" footer="0.3"/>
      <pageSetup orientation="portrait" r:id="rId11"/>
    </customSheetView>
    <customSheetView guid="{F716839F-5448-40FC-95BC-286199FD6764}" scale="130" showGridLines="0" state="hidden">
      <selection activeCell="D7" sqref="D7"/>
      <pageMargins left="0.7" right="0.7" top="0.75" bottom="0.75" header="0.3" footer="0.3"/>
      <pageSetup orientation="portrait" r:id="rId12"/>
    </customSheetView>
    <customSheetView guid="{8EBF087E-11C5-42EE-B564-FAEE72C86C17}" scale="130" showGridLines="0" state="hidden">
      <selection activeCell="D7" sqref="D7"/>
      <pageMargins left="0.7" right="0.7" top="0.75" bottom="0.75" header="0.3" footer="0.3"/>
      <pageSetup orientation="portrait" r:id="rId13"/>
    </customSheetView>
    <customSheetView guid="{6B1EB7F4-EF59-450E-A531-475C3A6E6150}" scale="130" showGridLines="0" state="hidden">
      <selection activeCell="D7" sqref="D7"/>
      <pageMargins left="0.7" right="0.7" top="0.75" bottom="0.75" header="0.3" footer="0.3"/>
      <pageSetup orientation="portrait" r:id="rId14"/>
    </customSheetView>
    <customSheetView guid="{8F332A92-7271-4FEC-B085-C15AA232FE21}" scale="130" showGridLines="0" state="hidden">
      <selection activeCell="D7" sqref="D7"/>
      <pageMargins left="0.7" right="0.7" top="0.75" bottom="0.75" header="0.3" footer="0.3"/>
      <pageSetup orientation="portrait" r:id="rId15"/>
    </customSheetView>
    <customSheetView guid="{F2A17A28-A3DF-492D-BAE9-AAEF2A13397B}" scale="130" showGridLines="0" state="hidden">
      <selection activeCell="D7" sqref="D7"/>
      <pageMargins left="0.7" right="0.7" top="0.75" bottom="0.75" header="0.3" footer="0.3"/>
      <pageSetup orientation="portrait" r:id="rId16"/>
    </customSheetView>
    <customSheetView guid="{4F11E31F-E14C-416D-BB97-C8CE74658FBE}" scale="130" showGridLines="0" state="hidden">
      <selection activeCell="D7" sqref="D7"/>
      <pageMargins left="0.7" right="0.7" top="0.75" bottom="0.75" header="0.3" footer="0.3"/>
      <pageSetup orientation="portrait" r:id="rId17"/>
    </customSheetView>
    <customSheetView guid="{C090DFAD-A23A-4678-87F2-095D84EBDDE8}" scale="130" showGridLines="0" state="hidden">
      <selection activeCell="D7" sqref="D7"/>
      <pageMargins left="0.7" right="0.7" top="0.75" bottom="0.75" header="0.3" footer="0.3"/>
      <pageSetup orientation="portrait" r:id="rId18"/>
    </customSheetView>
    <customSheetView guid="{A5292A6B-6F92-4AB3-B051-EF87F39FC489}" scale="130" showGridLines="0" state="hidden">
      <selection activeCell="D7" sqref="D7"/>
      <pageMargins left="0.7" right="0.7" top="0.75" bottom="0.75" header="0.3" footer="0.3"/>
      <pageSetup orientation="portrait" r:id="rId19"/>
    </customSheetView>
    <customSheetView guid="{6194C141-D0A1-4D58-BA55-90A184525AC3}" scale="130" showGridLines="0" state="hidden">
      <selection activeCell="D7" sqref="D7"/>
      <pageMargins left="0.7" right="0.7" top="0.75" bottom="0.75" header="0.3" footer="0.3"/>
      <pageSetup orientation="portrait" r:id="rId20"/>
    </customSheetView>
    <customSheetView guid="{7A7FC9A5-F2B5-4894-82BC-4528575F10D4}" scale="130" showGridLines="0" state="hidden">
      <selection activeCell="D7" sqref="D7"/>
      <pageMargins left="0.7" right="0.7" top="0.75" bottom="0.75" header="0.3" footer="0.3"/>
      <pageSetup orientation="portrait" r:id="rId21"/>
    </customSheetView>
    <customSheetView guid="{EBA5E9C4-A2DB-4DF0-BF75-1243E968318E}" scale="130" showGridLines="0" state="hidden">
      <selection activeCell="D7" sqref="D7"/>
      <pageMargins left="0.7" right="0.7" top="0.75" bottom="0.75" header="0.3" footer="0.3"/>
      <pageSetup orientation="portrait" r:id="rId22"/>
    </customSheetView>
    <customSheetView guid="{C7330417-67A9-44CF-917F-5F5E2F191AD4}" scale="130" showGridLines="0" state="hidden">
      <selection activeCell="D7" sqref="D7"/>
      <pageMargins left="0.7" right="0.7" top="0.75" bottom="0.75" header="0.3" footer="0.3"/>
      <pageSetup orientation="portrait" r:id="rId23"/>
    </customSheetView>
    <customSheetView guid="{47C01131-7443-4080-A2BB-6B6AA35C6913}" scale="130" showGridLines="0" state="hidden">
      <selection activeCell="D7" sqref="D7"/>
      <pageMargins left="0.7" right="0.7" top="0.75" bottom="0.75" header="0.3" footer="0.3"/>
      <pageSetup orientation="portrait" r:id="rId24"/>
    </customSheetView>
    <customSheetView guid="{19DA6E7F-8950-4769-9BBE-2798EFA465A3}" scale="130" showGridLines="0" state="hidden">
      <selection activeCell="D7" sqref="D7"/>
      <pageMargins left="0.7" right="0.7" top="0.75" bottom="0.75" header="0.3" footer="0.3"/>
      <pageSetup orientation="portrait" r:id="rId25"/>
    </customSheetView>
    <customSheetView guid="{F3CB97AD-592C-4B6E-8AE3-1CD47479060C}" scale="130" showGridLines="0" state="hidden">
      <selection activeCell="D7" sqref="D7"/>
      <pageMargins left="0.7" right="0.7" top="0.75" bottom="0.75" header="0.3" footer="0.3"/>
      <pageSetup orientation="portrait" r:id="rId26"/>
    </customSheetView>
    <customSheetView guid="{422703F6-63C4-435C-AFE7-1030286678F6}" scale="130" showGridLines="0" state="hidden">
      <selection activeCell="D7" sqref="D7"/>
      <pageMargins left="0.7" right="0.7" top="0.75" bottom="0.75" header="0.3" footer="0.3"/>
      <pageSetup orientation="portrait" r:id="rId27"/>
    </customSheetView>
    <customSheetView guid="{02D27969-4CD1-473E-A0E8-856AB0664DE8}" scale="130" showGridLines="0" state="hidden">
      <selection activeCell="D7" sqref="D7"/>
      <pageMargins left="0.7" right="0.7" top="0.75" bottom="0.75" header="0.3" footer="0.3"/>
      <pageSetup orientation="portrait" r:id="rId28"/>
    </customSheetView>
    <customSheetView guid="{1920E7A3-1C9F-4320-81BB-D11544051025}" scale="130" showGridLines="0" state="hidden">
      <selection activeCell="D7" sqref="D7"/>
      <pageMargins left="0.7" right="0.7" top="0.75" bottom="0.75" header="0.3" footer="0.3"/>
      <pageSetup orientation="portrait" r:id="rId29"/>
    </customSheetView>
    <customSheetView guid="{EC7537C6-1678-41C1-B788-EF4AFFECF769}" scale="130" showGridLines="0" state="hidden">
      <selection activeCell="D7" sqref="D7"/>
      <pageMargins left="0.7" right="0.7" top="0.75" bottom="0.75" header="0.3" footer="0.3"/>
      <pageSetup orientation="portrait" r:id="rId30"/>
    </customSheetView>
    <customSheetView guid="{E4FF7DB9-14DF-49DB-9F59-1898DDED4DCE}" scale="130" showGridLines="0" state="hidden">
      <selection activeCell="D7" sqref="D7"/>
      <pageMargins left="0.7" right="0.7" top="0.75" bottom="0.75" header="0.3" footer="0.3"/>
      <pageSetup orientation="portrait" r:id="rId31"/>
    </customSheetView>
    <customSheetView guid="{9AFCAA87-4888-4976-A7C9-C06A34CB6C97}" scale="130" showGridLines="0" state="hidden">
      <selection activeCell="D7" sqref="D7"/>
      <pageMargins left="0.7" right="0.7" top="0.75" bottom="0.75" header="0.3" footer="0.3"/>
      <pageSetup orientation="portrait" r:id="rId32"/>
    </customSheetView>
    <customSheetView guid="{15D7A002-B247-4A6B-A16B-61BDD9B0066A}" scale="130" showGridLines="0" state="hidden">
      <selection activeCell="D7" sqref="D7"/>
      <pageMargins left="0.7" right="0.7" top="0.75" bottom="0.75" header="0.3" footer="0.3"/>
      <pageSetup orientation="portrait" r:id="rId33"/>
    </customSheetView>
    <customSheetView guid="{F789A6E6-3D06-4D93-BF02-46FA1A2548B2}" scale="130" showGridLines="0" state="hidden">
      <selection activeCell="D7" sqref="D7"/>
      <pageMargins left="0.7" right="0.7" top="0.75" bottom="0.75" header="0.3" footer="0.3"/>
      <pageSetup orientation="portrait" r:id="rId34"/>
    </customSheetView>
    <customSheetView guid="{629A478C-29B1-4F25-A016-63CE32A1627F}" scale="130" showGridLines="0" state="hidden">
      <selection activeCell="D7" sqref="D7"/>
      <pageMargins left="0.7" right="0.7" top="0.75" bottom="0.75" header="0.3" footer="0.3"/>
      <pageSetup orientation="portrait" r:id="rId35"/>
    </customSheetView>
    <customSheetView guid="{51BA8A3D-4711-49ED-89E2-EBC09DF2AEDC}" scale="130" showGridLines="0" state="hidden">
      <selection activeCell="D7" sqref="D7"/>
      <pageMargins left="0.7" right="0.7" top="0.75" bottom="0.75" header="0.3" footer="0.3"/>
      <pageSetup orientation="portrait" r:id="rId36"/>
    </customSheetView>
    <customSheetView guid="{25A4A7C0-9593-456C-861C-76D101D3FE93}" scale="130" showGridLines="0" state="hidden">
      <selection activeCell="D7" sqref="D7"/>
      <pageMargins left="0.7" right="0.7" top="0.75" bottom="0.75" header="0.3" footer="0.3"/>
      <pageSetup orientation="portrait" r:id="rId37"/>
    </customSheetView>
    <customSheetView guid="{95D39BA8-2B16-4954-ABAC-09AD33A86339}" scale="130" showGridLines="0" state="hidden">
      <selection activeCell="D7" sqref="D7"/>
      <pageMargins left="0.7" right="0.7" top="0.75" bottom="0.75" header="0.3" footer="0.3"/>
      <pageSetup orientation="portrait" r:id="rId38"/>
    </customSheetView>
    <customSheetView guid="{C65059E8-30E8-488B-A0E9-1B7961920C81}" scale="130" showGridLines="0" state="hidden">
      <selection activeCell="D7" sqref="D7"/>
      <pageMargins left="0.7" right="0.7" top="0.75" bottom="0.75" header="0.3" footer="0.3"/>
      <pageSetup orientation="portrait" r:id="rId39"/>
    </customSheetView>
    <customSheetView guid="{644A6A80-0D34-48F6-A071-17016DCD2D6E}" scale="130" showGridLines="0" state="hidden">
      <selection activeCell="D7" sqref="D7"/>
      <pageMargins left="0.7" right="0.7" top="0.75" bottom="0.75" header="0.3" footer="0.3"/>
      <pageSetup orientation="portrait" r:id="rId40"/>
    </customSheetView>
    <customSheetView guid="{CC562453-1E6B-4010-9E1B-775397A26EFA}" scale="130" showGridLines="0" state="hidden">
      <selection activeCell="D7" sqref="D7"/>
      <pageMargins left="0.7" right="0.7" top="0.75" bottom="0.75" header="0.3" footer="0.3"/>
      <pageSetup orientation="portrait" r:id="rId41"/>
    </customSheetView>
    <customSheetView guid="{E1A67331-473F-4161-806C-BE35870C93B5}" scale="130" showGridLines="0" state="hidden">
      <selection activeCell="D7" sqref="D7"/>
      <pageMargins left="0.7" right="0.7" top="0.75" bottom="0.75" header="0.3" footer="0.3"/>
      <pageSetup orientation="portrait" r:id="rId42"/>
    </customSheetView>
    <customSheetView guid="{BCAB4838-A37A-4BCF-A9C9-CC50C95F58C7}" scale="130" showGridLines="0" state="hidden">
      <selection activeCell="D7" sqref="D7"/>
      <pageMargins left="0.7" right="0.7" top="0.75" bottom="0.75" header="0.3" footer="0.3"/>
      <pageSetup orientation="portrait" r:id="rId43"/>
    </customSheetView>
    <customSheetView guid="{F518ECB9-5D92-41E0-BFD2-C5175A02444D}" scale="130" showGridLines="0" state="hidden">
      <selection activeCell="D7" sqref="D7"/>
      <pageMargins left="0.7" right="0.7" top="0.75" bottom="0.75" header="0.3" footer="0.3"/>
      <pageSetup orientation="portrait" r:id="rId44"/>
    </customSheetView>
    <customSheetView guid="{FEB5A49F-F7F7-412A-BE72-F90F7A4799C8}" scale="130" showGridLines="0" state="hidden">
      <selection activeCell="D7" sqref="D7"/>
      <pageMargins left="0.7" right="0.7" top="0.75" bottom="0.75" header="0.3" footer="0.3"/>
      <pageSetup orientation="portrait" r:id="rId45"/>
    </customSheetView>
    <customSheetView guid="{F9A03991-7A83-41AE-B603-3D22265CDA22}" scale="130" showGridLines="0" state="hidden">
      <selection activeCell="D7" sqref="D7"/>
      <pageMargins left="0.7" right="0.7" top="0.75" bottom="0.75" header="0.3" footer="0.3"/>
      <pageSetup orientation="portrait" r:id="rId46"/>
    </customSheetView>
    <customSheetView guid="{8A25BF65-C908-4B2F-9805-3CD39BD4330E}" scale="130" showGridLines="0" state="hidden">
      <selection activeCell="D7" sqref="D7"/>
      <pageMargins left="0.7" right="0.7" top="0.75" bottom="0.75" header="0.3" footer="0.3"/>
      <pageSetup orientation="portrait" r:id="rId47"/>
    </customSheetView>
    <customSheetView guid="{5C8F4C13-387F-42D2-8CB5-92C4886D7919}" scale="130" showGridLines="0" state="hidden">
      <selection activeCell="D7" sqref="D7"/>
      <pageMargins left="0.7" right="0.7" top="0.75" bottom="0.75" header="0.3" footer="0.3"/>
      <pageSetup orientation="portrait" r:id="rId48"/>
    </customSheetView>
    <customSheetView guid="{395DC3D6-3299-4A43-88E2-62703FCC0349}" scale="130" showGridLines="0" state="hidden">
      <selection activeCell="D7" sqref="D7"/>
      <pageMargins left="0.7" right="0.7" top="0.75" bottom="0.75" header="0.3" footer="0.3"/>
      <pageSetup orientation="portrait" r:id="rId49"/>
    </customSheetView>
    <customSheetView guid="{FC8D231F-57F9-45EE-9DEF-D7ED111600EB}" scale="130" showGridLines="0" state="hidden">
      <selection activeCell="D7" sqref="D7"/>
      <pageMargins left="0.7" right="0.7" top="0.75" bottom="0.75" header="0.3" footer="0.3"/>
      <pageSetup orientation="portrait" r:id="rId50"/>
    </customSheetView>
    <customSheetView guid="{7A9AB605-DB82-470C-B86B-95E2AB3523F6}" scale="130" showGridLines="0" state="hidden">
      <selection activeCell="D7" sqref="D7"/>
      <pageMargins left="0.7" right="0.7" top="0.75" bottom="0.75" header="0.3" footer="0.3"/>
      <pageSetup orientation="portrait" r:id="rId51"/>
    </customSheetView>
    <customSheetView guid="{0125BE01-BBC8-4E5A-9A9A-3D1257916B8C}" scale="130" showGridLines="0" state="hidden">
      <selection activeCell="D7" sqref="D7"/>
      <pageMargins left="0.7" right="0.7" top="0.75" bottom="0.75" header="0.3" footer="0.3"/>
      <pageSetup orientation="portrait" r:id="rId52"/>
    </customSheetView>
    <customSheetView guid="{8BEA0E04-8B9A-4A2D-9B80-4E7685E22D5E}" scale="130" showGridLines="0" state="hidden">
      <selection activeCell="D7" sqref="D7"/>
      <pageMargins left="0.7" right="0.7" top="0.75" bottom="0.75" header="0.3" footer="0.3"/>
      <pageSetup orientation="portrait" r:id="rId53"/>
    </customSheetView>
    <customSheetView guid="{EE4A95A5-BF42-4BAA-B9EB-84A9230A28F9}" scale="130" showGridLines="0" state="hidden">
      <selection activeCell="D7" sqref="D7"/>
      <pageMargins left="0.7" right="0.7" top="0.75" bottom="0.75" header="0.3" footer="0.3"/>
      <pageSetup orientation="portrait" r:id="rId54"/>
    </customSheetView>
    <customSheetView guid="{2032DE14-E33D-44B5-9022-A2B48F059704}" scale="130" showGridLines="0" state="hidden">
      <selection activeCell="D7" sqref="D7"/>
      <pageMargins left="0.7" right="0.7" top="0.75" bottom="0.75" header="0.3" footer="0.3"/>
      <pageSetup orientation="portrait" r:id="rId55"/>
    </customSheetView>
    <customSheetView guid="{DF16608F-40E8-490E-B08D-ED6EEAB8B9EC}" scale="130" showGridLines="0" state="hidden">
      <selection activeCell="D7" sqref="D7"/>
      <pageMargins left="0.7" right="0.7" top="0.75" bottom="0.75" header="0.3" footer="0.3"/>
      <pageSetup orientation="portrait" r:id="rId56"/>
    </customSheetView>
    <customSheetView guid="{2CEDB1FB-2942-4B51-BF30-285DCDB05292}" scale="130" showGridLines="0" state="hidden">
      <selection activeCell="D7" sqref="D7"/>
      <pageMargins left="0.7" right="0.7" top="0.75" bottom="0.75" header="0.3" footer="0.3"/>
      <pageSetup orientation="portrait" r:id="rId57"/>
    </customSheetView>
    <customSheetView guid="{E4375DB4-4B74-46BC-A9F2-C5C5055B366F}" scale="130" showGridLines="0" state="hidden">
      <selection activeCell="D7" sqref="D7"/>
      <pageMargins left="0.7" right="0.7" top="0.75" bottom="0.75" header="0.3" footer="0.3"/>
      <pageSetup orientation="portrait" r:id="rId58"/>
    </customSheetView>
    <customSheetView guid="{58306194-C83B-413E-AC5F-AD717216CB21}" scale="130" showGridLines="0" state="hidden">
      <selection activeCell="D7" sqref="D7"/>
      <pageMargins left="0.7" right="0.7" top="0.75" bottom="0.75" header="0.3" footer="0.3"/>
      <pageSetup orientation="portrait" r:id="rId59"/>
    </customSheetView>
    <customSheetView guid="{81DEBAD0-6E86-4DFB-8642-C52E8C976BDA}" scale="130" showGridLines="0" state="hidden">
      <selection activeCell="D7" sqref="D7"/>
      <pageMargins left="0.7" right="0.7" top="0.75" bottom="0.75" header="0.3" footer="0.3"/>
      <pageSetup orientation="portrait" r:id="rId60"/>
    </customSheetView>
    <customSheetView guid="{C575B46A-1D4C-489C-97AE-5DAB6560E171}" scale="130" showGridLines="0" state="hidden">
      <selection activeCell="D7" sqref="D7"/>
      <pageMargins left="0.7" right="0.7" top="0.75" bottom="0.75" header="0.3" footer="0.3"/>
      <pageSetup orientation="portrait" r:id="rId61"/>
    </customSheetView>
    <customSheetView guid="{C908A6D6-4C77-416B-BC46-6F501B5F842F}" scale="130" showGridLines="0" state="hidden">
      <selection activeCell="D7" sqref="D7"/>
      <pageMargins left="0.7" right="0.7" top="0.75" bottom="0.75" header="0.3" footer="0.3"/>
      <pageSetup orientation="portrait" r:id="rId62"/>
    </customSheetView>
    <customSheetView guid="{CE50DC7E-3038-4337-BAC8-5B16EE1D95B0}" scale="130" showGridLines="0" state="hidden">
      <selection activeCell="D7" sqref="D7"/>
      <pageMargins left="0.7" right="0.7" top="0.75" bottom="0.75" header="0.3" footer="0.3"/>
      <pageSetup orientation="portrait" r:id="rId63"/>
    </customSheetView>
    <customSheetView guid="{3511E245-32F9-4CFF-8540-6B03C6FAE218}" scale="130" showGridLines="0" state="hidden">
      <selection activeCell="D7" sqref="D7"/>
      <pageMargins left="0.7" right="0.7" top="0.75" bottom="0.75" header="0.3" footer="0.3"/>
      <pageSetup orientation="portrait" r:id="rId64"/>
    </customSheetView>
    <customSheetView guid="{DFE0B66A-2DCB-4802-A91B-F836707AD43C}" scale="130" showGridLines="0" state="hidden">
      <selection activeCell="D7" sqref="D7"/>
      <pageMargins left="0.7" right="0.7" top="0.75" bottom="0.75" header="0.3" footer="0.3"/>
      <pageSetup orientation="portrait" r:id="rId65"/>
    </customSheetView>
    <customSheetView guid="{0458C18D-9EF5-4516-9145-CA54D8EB1865}" scale="130" showGridLines="0" state="hidden">
      <selection activeCell="D7" sqref="D7"/>
      <pageMargins left="0.7" right="0.7" top="0.75" bottom="0.75" header="0.3" footer="0.3"/>
      <pageSetup orientation="portrait" r:id="rId66"/>
    </customSheetView>
    <customSheetView guid="{0E02FCC8-6440-4859-9F6B-C77617EF5D89}" scale="130" showGridLines="0" state="hidden">
      <selection activeCell="D7" sqref="D7"/>
      <pageMargins left="0.7" right="0.7" top="0.75" bottom="0.75" header="0.3" footer="0.3"/>
      <pageSetup orientation="portrait" r:id="rId67"/>
    </customSheetView>
    <customSheetView guid="{EE811897-5BF5-4321-9879-5B7EDF90A350}" scale="130" showGridLines="0" state="hidden">
      <selection activeCell="D7" sqref="D7"/>
      <pageMargins left="0.7" right="0.7" top="0.75" bottom="0.75" header="0.3" footer="0.3"/>
      <pageSetup orientation="portrait" r:id="rId68"/>
    </customSheetView>
    <customSheetView guid="{FF03E81F-A9A8-4546-A9C3-77A6EEA02ED9}" scale="130" showGridLines="0" state="hidden">
      <selection activeCell="D7" sqref="D7"/>
      <pageMargins left="0.7" right="0.7" top="0.75" bottom="0.75" header="0.3" footer="0.3"/>
      <pageSetup orientation="portrait" r:id="rId69"/>
    </customSheetView>
    <customSheetView guid="{D9413B31-FDB2-4AE8-80A8-7F09954E703C}" scale="130" showGridLines="0" state="hidden">
      <selection activeCell="D7" sqref="D7"/>
      <pageMargins left="0.7" right="0.7" top="0.75" bottom="0.75" header="0.3" footer="0.3"/>
      <pageSetup orientation="portrait" r:id="rId70"/>
    </customSheetView>
    <customSheetView guid="{B19B24CB-B859-49E3-8AE0-2D671510EE4F}" scale="130" showGridLines="0" state="hidden">
      <selection activeCell="D7" sqref="D7"/>
      <pageMargins left="0.7" right="0.7" top="0.75" bottom="0.75" header="0.3" footer="0.3"/>
      <pageSetup orientation="portrait" r:id="rId71"/>
    </customSheetView>
    <customSheetView guid="{0BF42E77-7016-4BE4-A5AB-A49974630D91}" scale="130" showGridLines="0" state="hidden">
      <selection activeCell="D7" sqref="D7"/>
      <pageMargins left="0.7" right="0.7" top="0.75" bottom="0.75" header="0.3" footer="0.3"/>
      <pageSetup orientation="portrait" r:id="rId72"/>
    </customSheetView>
    <customSheetView guid="{C453A932-6110-4A84-A9C2-26C809391387}" scale="130" showGridLines="0" state="hidden">
      <selection activeCell="D7" sqref="D7"/>
      <pageMargins left="0.7" right="0.7" top="0.75" bottom="0.75" header="0.3" footer="0.3"/>
      <pageSetup orientation="portrait" r:id="rId73"/>
    </customSheetView>
    <customSheetView guid="{08E755F8-82E9-4D95-862B-81F55FBDDDF6}" scale="130" showGridLines="0" state="hidden">
      <selection activeCell="D7" sqref="D7"/>
      <pageMargins left="0.7" right="0.7" top="0.75" bottom="0.75" header="0.3" footer="0.3"/>
      <pageSetup orientation="portrait" r:id="rId74"/>
    </customSheetView>
    <customSheetView guid="{86D36E03-787A-41EB-85FF-8BB8A222055B}" scale="130" showGridLines="0" state="hidden">
      <selection activeCell="D7" sqref="D7"/>
      <pageMargins left="0.7" right="0.7" top="0.75" bottom="0.75" header="0.3" footer="0.3"/>
      <pageSetup orientation="portrait" r:id="rId75"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orientation="portrait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</vt:lpstr>
      <vt:lpstr>Time</vt:lpstr>
      <vt:lpstr>Days</vt:lpstr>
      <vt:lpstr>Employees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Kadhiravan Jayachandiran</cp:lastModifiedBy>
  <dcterms:created xsi:type="dcterms:W3CDTF">2022-03-05T05:03:48Z</dcterms:created>
  <dcterms:modified xsi:type="dcterms:W3CDTF">2026-03-24T04:28:50Z</dcterms:modified>
</cp:coreProperties>
</file>