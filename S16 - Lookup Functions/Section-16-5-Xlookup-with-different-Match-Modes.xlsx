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7B249FC0-E388-47C7-A8E0-76FCB4DFB947}" xr6:coauthVersionLast="47" xr6:coauthVersionMax="47" xr10:uidLastSave="{00000000-0000-0000-0000-000000000000}"/>
  <bookViews>
    <workbookView xWindow="-98" yWindow="-98" windowWidth="25846" windowHeight="15661" xr2:uid="{275F1ADD-2E24-4F9A-A50F-DEEE17A443DF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2" l="1"/>
  <c r="G38" i="2"/>
  <c r="G37" i="2"/>
  <c r="G36" i="2"/>
  <c r="G35" i="2"/>
  <c r="G34" i="2"/>
  <c r="G33" i="2"/>
  <c r="G32" i="2"/>
  <c r="G31" i="2"/>
  <c r="G30" i="2"/>
  <c r="G54" i="2"/>
  <c r="G55" i="2"/>
  <c r="G56" i="2"/>
  <c r="G57" i="2"/>
  <c r="G58" i="2"/>
  <c r="G59" i="2"/>
  <c r="G60" i="2"/>
  <c r="G61" i="2"/>
  <c r="G62" i="2"/>
  <c r="G53" i="2"/>
  <c r="G75" i="2"/>
  <c r="G76" i="2"/>
  <c r="G77" i="2"/>
  <c r="G78" i="2"/>
  <c r="G79" i="2"/>
  <c r="G80" i="2"/>
  <c r="G81" i="2"/>
  <c r="G82" i="2"/>
  <c r="G83" i="2"/>
  <c r="G74" i="2"/>
  <c r="B74" i="2"/>
  <c r="B75" i="2" s="1"/>
  <c r="B76" i="2" s="1"/>
  <c r="B77" i="2" s="1"/>
  <c r="B78" i="2" s="1"/>
  <c r="B79" i="2" s="1"/>
  <c r="B80" i="2" s="1"/>
  <c r="B81" i="2" s="1"/>
  <c r="B82" i="2" s="1"/>
  <c r="B83" i="2" s="1"/>
  <c r="B53" i="2"/>
  <c r="B54" i="2" s="1"/>
  <c r="B55" i="2" s="1"/>
  <c r="B56" i="2" s="1"/>
  <c r="B57" i="2" s="1"/>
  <c r="B58" i="2" s="1"/>
  <c r="B59" i="2" s="1"/>
  <c r="B60" i="2" s="1"/>
  <c r="B61" i="2" s="1"/>
  <c r="B62" i="2" s="1"/>
  <c r="G11" i="2"/>
  <c r="G12" i="2"/>
  <c r="G13" i="2"/>
  <c r="G14" i="2"/>
  <c r="G15" i="2"/>
  <c r="G16" i="2"/>
  <c r="G17" i="2"/>
  <c r="G18" i="2"/>
  <c r="G19" i="2"/>
  <c r="G10" i="2"/>
  <c r="B30" i="2"/>
  <c r="B31" i="2" s="1"/>
  <c r="B32" i="2" s="1"/>
  <c r="B33" i="2" s="1"/>
  <c r="B34" i="2" s="1"/>
  <c r="B35" i="2" s="1"/>
  <c r="B36" i="2" s="1"/>
  <c r="B37" i="2" s="1"/>
  <c r="B38" i="2" s="1"/>
  <c r="B39" i="2" s="1"/>
  <c r="B10" i="2"/>
  <c r="B11" i="2" s="1"/>
  <c r="B12" i="2" s="1"/>
  <c r="B13" i="2" s="1"/>
  <c r="B14" i="2" s="1"/>
  <c r="B15" i="2" s="1"/>
  <c r="B16" i="2" s="1"/>
  <c r="B17" i="2" s="1"/>
  <c r="B18" i="2" s="1"/>
  <c r="B19" i="2" s="1"/>
</calcChain>
</file>

<file path=xl/sharedStrings.xml><?xml version="1.0" encoding="utf-8"?>
<sst xmlns="http://schemas.openxmlformats.org/spreadsheetml/2006/main" count="142" uniqueCount="36">
  <si>
    <t>S.No</t>
  </si>
  <si>
    <t>Store Purchased</t>
  </si>
  <si>
    <t>fruits</t>
  </si>
  <si>
    <t>apple</t>
  </si>
  <si>
    <t>orange</t>
  </si>
  <si>
    <t>kiwifruit</t>
  </si>
  <si>
    <t>pineapple</t>
  </si>
  <si>
    <t>grape</t>
  </si>
  <si>
    <t>banana</t>
  </si>
  <si>
    <t>pomogranete</t>
  </si>
  <si>
    <t>Pear</t>
  </si>
  <si>
    <t>Mango</t>
  </si>
  <si>
    <t>watermelon</t>
  </si>
  <si>
    <t>Amazon</t>
  </si>
  <si>
    <t>Walmart</t>
  </si>
  <si>
    <t>Digifresh</t>
  </si>
  <si>
    <t>Farmer</t>
  </si>
  <si>
    <t>Fruit Wholeseller</t>
  </si>
  <si>
    <t>BigBasket</t>
  </si>
  <si>
    <t>Purchase Data</t>
  </si>
  <si>
    <t>Transit Data</t>
  </si>
  <si>
    <t>Merchant</t>
  </si>
  <si>
    <t>No of Days in Transit</t>
  </si>
  <si>
    <t>Profit %</t>
  </si>
  <si>
    <t>Margin %</t>
  </si>
  <si>
    <t>Amazo</t>
  </si>
  <si>
    <t>Walma</t>
  </si>
  <si>
    <t>Digi</t>
  </si>
  <si>
    <t>Basket</t>
  </si>
  <si>
    <t>Farm</t>
  </si>
  <si>
    <t>Fruit</t>
  </si>
  <si>
    <t>Find the "Days in Transit" from "I52" Dataset using "Merchant Name")</t>
  </si>
  <si>
    <t>Find the "Days in Transit" from "I-29" Dataset using "Margin %" (only values that are lower to the current value)</t>
  </si>
  <si>
    <t>Find the "Days in Transit" from "I-9" Dataset using "Margin %" (only values that are higher to the current value)</t>
  </si>
  <si>
    <t>Find the "Days in Transit" from "I-73" Dataset using "Merchant Name")</t>
  </si>
  <si>
    <t>I Shopped at BigBasket and they are wild in their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</si>
</sst>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9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horizontal="center" wrapText="1"/>
    </xf>
    <xf numFmtId="0" fontId="5" fillId="4" borderId="0" xfId="0" applyFont="1" applyFill="1" applyAlignment="1">
      <alignment horizontal="center" wrapText="1"/>
    </xf>
  </cellXfs>
  <cellStyles count="1">
    <cellStyle name="Normal" xfId="0" builtinId="0"/>
  </cellStyles>
  <dxfs count="4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2BDF-E57C-4B52-8451-22D6E1B3C358}">
  <dimension ref="B4:K83"/>
  <sheetViews>
    <sheetView showGridLines="0" tabSelected="1" zoomScale="148" zoomScaleNormal="148" workbookViewId="0">
      <selection activeCell="F9" sqref="F9"/>
    </sheetView>
  </sheetViews>
  <sheetFormatPr defaultRowHeight="14.25" x14ac:dyDescent="0.45"/>
  <cols>
    <col min="3" max="3" width="13.1328125" bestFit="1" customWidth="1"/>
    <col min="4" max="4" width="16.59765625" bestFit="1" customWidth="1"/>
    <col min="6" max="6" width="20.73046875" customWidth="1"/>
    <col min="7" max="7" width="15.1328125" customWidth="1"/>
    <col min="9" max="9" width="8" bestFit="1" customWidth="1"/>
    <col min="10" max="10" width="14.86328125" bestFit="1" customWidth="1"/>
    <col min="11" max="11" width="19.3984375" bestFit="1" customWidth="1"/>
  </cols>
  <sheetData>
    <row r="4" spans="2:11" ht="18.75" customHeight="1" x14ac:dyDescent="0.45">
      <c r="B4" s="11" t="s">
        <v>33</v>
      </c>
      <c r="C4" s="11"/>
      <c r="D4" s="11"/>
      <c r="E4" s="11"/>
      <c r="F4" s="11"/>
    </row>
    <row r="5" spans="2:11" x14ac:dyDescent="0.45">
      <c r="B5" s="11"/>
      <c r="C5" s="11"/>
      <c r="D5" s="11"/>
      <c r="E5" s="11"/>
      <c r="F5" s="11"/>
    </row>
    <row r="8" spans="2:11" x14ac:dyDescent="0.45">
      <c r="B8" s="10" t="s">
        <v>19</v>
      </c>
      <c r="C8" s="10"/>
      <c r="D8" s="10"/>
      <c r="E8" s="10"/>
      <c r="F8" s="10"/>
      <c r="I8" s="10" t="s">
        <v>20</v>
      </c>
      <c r="J8" s="10"/>
      <c r="K8" s="10"/>
    </row>
    <row r="9" spans="2:11" x14ac:dyDescent="0.45">
      <c r="B9" s="2" t="s">
        <v>0</v>
      </c>
      <c r="C9" s="2" t="s">
        <v>2</v>
      </c>
      <c r="D9" s="2" t="s">
        <v>1</v>
      </c>
      <c r="E9" s="2" t="s">
        <v>24</v>
      </c>
      <c r="F9" s="3" t="s">
        <v>22</v>
      </c>
      <c r="I9" s="2" t="s">
        <v>23</v>
      </c>
      <c r="J9" s="2" t="s">
        <v>21</v>
      </c>
      <c r="K9" s="2" t="s">
        <v>22</v>
      </c>
    </row>
    <row r="10" spans="2:11" x14ac:dyDescent="0.45">
      <c r="B10" s="4">
        <f>1</f>
        <v>1</v>
      </c>
      <c r="C10" s="5" t="s">
        <v>3</v>
      </c>
      <c r="D10" s="5" t="s">
        <v>13</v>
      </c>
      <c r="E10" s="6">
        <v>0.19</v>
      </c>
      <c r="F10" s="4"/>
      <c r="G10" s="1">
        <f>_xlfn.XLOOKUP(E10,$I$10:$I$15,$K$10:$K$15,"Not Found",1,1)</f>
        <v>7</v>
      </c>
      <c r="I10" s="8">
        <v>0.2</v>
      </c>
      <c r="J10" s="5" t="s">
        <v>13</v>
      </c>
      <c r="K10" s="7">
        <v>7</v>
      </c>
    </row>
    <row r="11" spans="2:11" x14ac:dyDescent="0.45">
      <c r="B11" s="4">
        <f t="shared" ref="B11:B19" si="0">B10+1</f>
        <v>2</v>
      </c>
      <c r="C11" s="5" t="s">
        <v>4</v>
      </c>
      <c r="D11" s="5" t="s">
        <v>14</v>
      </c>
      <c r="E11" s="6">
        <v>0.18</v>
      </c>
      <c r="F11" s="4"/>
      <c r="G11" s="1">
        <f t="shared" ref="G11:G19" si="1">_xlfn.XLOOKUP(E11,$I$10:$I$15,$K$10:$K$15,"Not Found",1,1)</f>
        <v>6</v>
      </c>
      <c r="I11" s="8">
        <v>0.18</v>
      </c>
      <c r="J11" s="5" t="s">
        <v>14</v>
      </c>
      <c r="K11" s="7">
        <v>6</v>
      </c>
    </row>
    <row r="12" spans="2:11" x14ac:dyDescent="0.45">
      <c r="B12" s="4">
        <f t="shared" si="0"/>
        <v>3</v>
      </c>
      <c r="C12" s="5" t="s">
        <v>5</v>
      </c>
      <c r="D12" s="5" t="s">
        <v>15</v>
      </c>
      <c r="E12" s="6">
        <v>0.21</v>
      </c>
      <c r="F12" s="4"/>
      <c r="G12" s="1">
        <f t="shared" si="1"/>
        <v>7</v>
      </c>
      <c r="I12" s="8">
        <v>0.23</v>
      </c>
      <c r="J12" s="5" t="s">
        <v>15</v>
      </c>
      <c r="K12" s="7">
        <v>7</v>
      </c>
    </row>
    <row r="13" spans="2:11" x14ac:dyDescent="0.45">
      <c r="B13" s="4">
        <f t="shared" si="0"/>
        <v>4</v>
      </c>
      <c r="C13" s="5" t="s">
        <v>6</v>
      </c>
      <c r="D13" s="5" t="s">
        <v>18</v>
      </c>
      <c r="E13" s="6">
        <v>0.24</v>
      </c>
      <c r="F13" s="4"/>
      <c r="G13" s="1">
        <f t="shared" si="1"/>
        <v>5</v>
      </c>
      <c r="I13" s="8">
        <v>7.0000000000000007E-2</v>
      </c>
      <c r="J13" s="5" t="s">
        <v>18</v>
      </c>
      <c r="K13" s="7">
        <v>3</v>
      </c>
    </row>
    <row r="14" spans="2:11" x14ac:dyDescent="0.45">
      <c r="B14" s="4">
        <f t="shared" si="0"/>
        <v>5</v>
      </c>
      <c r="C14" s="5" t="s">
        <v>9</v>
      </c>
      <c r="D14" s="5" t="s">
        <v>16</v>
      </c>
      <c r="E14" s="6">
        <v>0.08</v>
      </c>
      <c r="F14" s="4"/>
      <c r="G14" s="1">
        <f t="shared" si="1"/>
        <v>6</v>
      </c>
      <c r="I14" s="8">
        <v>0.05</v>
      </c>
      <c r="J14" s="5" t="s">
        <v>16</v>
      </c>
      <c r="K14" s="7">
        <v>1</v>
      </c>
    </row>
    <row r="15" spans="2:11" x14ac:dyDescent="0.45">
      <c r="B15" s="4">
        <f t="shared" si="0"/>
        <v>6</v>
      </c>
      <c r="C15" s="5" t="s">
        <v>7</v>
      </c>
      <c r="D15" s="5" t="s">
        <v>17</v>
      </c>
      <c r="E15" s="6">
        <v>0.09</v>
      </c>
      <c r="F15" s="4"/>
      <c r="G15" s="1">
        <f t="shared" si="1"/>
        <v>6</v>
      </c>
      <c r="I15" s="8">
        <v>0.4</v>
      </c>
      <c r="J15" s="5" t="s">
        <v>17</v>
      </c>
      <c r="K15" s="7">
        <v>5</v>
      </c>
    </row>
    <row r="16" spans="2:11" x14ac:dyDescent="0.45">
      <c r="B16" s="4">
        <f t="shared" si="0"/>
        <v>7</v>
      </c>
      <c r="C16" s="5" t="s">
        <v>8</v>
      </c>
      <c r="D16" s="5" t="s">
        <v>13</v>
      </c>
      <c r="E16" s="6">
        <v>0.05</v>
      </c>
      <c r="F16" s="4"/>
      <c r="G16" s="1">
        <f t="shared" si="1"/>
        <v>1</v>
      </c>
    </row>
    <row r="17" spans="2:11" x14ac:dyDescent="0.45">
      <c r="B17" s="4">
        <f t="shared" si="0"/>
        <v>8</v>
      </c>
      <c r="C17" s="5" t="s">
        <v>10</v>
      </c>
      <c r="D17" s="5" t="s">
        <v>14</v>
      </c>
      <c r="E17" s="6">
        <v>0.01</v>
      </c>
      <c r="F17" s="4"/>
      <c r="G17" s="1">
        <f t="shared" si="1"/>
        <v>1</v>
      </c>
    </row>
    <row r="18" spans="2:11" x14ac:dyDescent="0.45">
      <c r="B18" s="4">
        <f t="shared" si="0"/>
        <v>9</v>
      </c>
      <c r="C18" s="5" t="s">
        <v>11</v>
      </c>
      <c r="D18" s="5" t="s">
        <v>18</v>
      </c>
      <c r="E18" s="6">
        <v>0.46</v>
      </c>
      <c r="F18" s="4"/>
      <c r="G18" s="1" t="str">
        <f t="shared" si="1"/>
        <v>Not Found</v>
      </c>
    </row>
    <row r="19" spans="2:11" x14ac:dyDescent="0.45">
      <c r="B19" s="4">
        <f t="shared" si="0"/>
        <v>10</v>
      </c>
      <c r="C19" s="5" t="s">
        <v>12</v>
      </c>
      <c r="D19" s="5" t="s">
        <v>15</v>
      </c>
      <c r="E19" s="6">
        <v>0.37</v>
      </c>
      <c r="F19" s="4"/>
      <c r="G19" s="1">
        <f t="shared" si="1"/>
        <v>5</v>
      </c>
    </row>
    <row r="25" spans="2:11" x14ac:dyDescent="0.45">
      <c r="B25" s="12" t="s">
        <v>32</v>
      </c>
      <c r="C25" s="12"/>
      <c r="D25" s="12"/>
      <c r="E25" s="12"/>
      <c r="F25" s="12"/>
    </row>
    <row r="26" spans="2:11" x14ac:dyDescent="0.45">
      <c r="B26" s="12"/>
      <c r="C26" s="12"/>
      <c r="D26" s="12"/>
      <c r="E26" s="12"/>
      <c r="F26" s="12"/>
    </row>
    <row r="29" spans="2:11" x14ac:dyDescent="0.45">
      <c r="B29" s="2" t="s">
        <v>0</v>
      </c>
      <c r="C29" s="2" t="s">
        <v>2</v>
      </c>
      <c r="D29" s="2" t="s">
        <v>1</v>
      </c>
      <c r="E29" s="2" t="s">
        <v>24</v>
      </c>
      <c r="F29" s="3" t="s">
        <v>22</v>
      </c>
      <c r="I29" s="2" t="s">
        <v>23</v>
      </c>
      <c r="J29" s="2" t="s">
        <v>21</v>
      </c>
      <c r="K29" s="2" t="s">
        <v>22</v>
      </c>
    </row>
    <row r="30" spans="2:11" x14ac:dyDescent="0.45">
      <c r="B30" s="4">
        <f>1</f>
        <v>1</v>
      </c>
      <c r="C30" s="5" t="s">
        <v>3</v>
      </c>
      <c r="D30" s="5" t="s">
        <v>13</v>
      </c>
      <c r="E30" s="6">
        <v>0.19</v>
      </c>
      <c r="F30" s="4"/>
      <c r="G30" s="1">
        <f>_xlfn.XLOOKUP(E30,$I$30:$I$35,$K$30:$K$35,"Not Found",-1)</f>
        <v>6</v>
      </c>
      <c r="I30" s="8">
        <v>0.2</v>
      </c>
      <c r="J30" s="5" t="s">
        <v>13</v>
      </c>
      <c r="K30" s="7">
        <v>7</v>
      </c>
    </row>
    <row r="31" spans="2:11" x14ac:dyDescent="0.45">
      <c r="B31" s="4">
        <f t="shared" ref="B31:B39" si="2">B30+1</f>
        <v>2</v>
      </c>
      <c r="C31" s="5" t="s">
        <v>4</v>
      </c>
      <c r="D31" s="5" t="s">
        <v>14</v>
      </c>
      <c r="E31" s="6">
        <v>0.18</v>
      </c>
      <c r="F31" s="4"/>
      <c r="G31" s="1">
        <f t="shared" ref="G31:G39" si="3">_xlfn.XLOOKUP(E31,$I$30:$I$35,$K$30:$K$35,"Not Found",-1)</f>
        <v>6</v>
      </c>
      <c r="I31" s="8">
        <v>0.18</v>
      </c>
      <c r="J31" s="5" t="s">
        <v>14</v>
      </c>
      <c r="K31" s="7">
        <v>6</v>
      </c>
    </row>
    <row r="32" spans="2:11" x14ac:dyDescent="0.45">
      <c r="B32" s="4">
        <f t="shared" si="2"/>
        <v>3</v>
      </c>
      <c r="C32" s="5" t="s">
        <v>5</v>
      </c>
      <c r="D32" s="5" t="s">
        <v>15</v>
      </c>
      <c r="E32" s="6">
        <v>0.21</v>
      </c>
      <c r="F32" s="4"/>
      <c r="G32" s="1">
        <f t="shared" si="3"/>
        <v>7</v>
      </c>
      <c r="I32" s="8">
        <v>0.23</v>
      </c>
      <c r="J32" s="5" t="s">
        <v>15</v>
      </c>
      <c r="K32" s="7">
        <v>7</v>
      </c>
    </row>
    <row r="33" spans="2:11" x14ac:dyDescent="0.45">
      <c r="B33" s="4">
        <f t="shared" si="2"/>
        <v>4</v>
      </c>
      <c r="C33" s="5" t="s">
        <v>6</v>
      </c>
      <c r="D33" s="5" t="s">
        <v>18</v>
      </c>
      <c r="E33" s="6">
        <v>0.24</v>
      </c>
      <c r="F33" s="4"/>
      <c r="G33" s="1">
        <f t="shared" si="3"/>
        <v>7</v>
      </c>
      <c r="I33" s="8">
        <v>7.0000000000000007E-2</v>
      </c>
      <c r="J33" s="5" t="s">
        <v>18</v>
      </c>
      <c r="K33" s="7">
        <v>3</v>
      </c>
    </row>
    <row r="34" spans="2:11" x14ac:dyDescent="0.45">
      <c r="B34" s="4">
        <f t="shared" si="2"/>
        <v>5</v>
      </c>
      <c r="C34" s="5" t="s">
        <v>9</v>
      </c>
      <c r="D34" s="5" t="s">
        <v>16</v>
      </c>
      <c r="E34" s="6">
        <v>0.08</v>
      </c>
      <c r="F34" s="4"/>
      <c r="G34" s="1">
        <f t="shared" si="3"/>
        <v>3</v>
      </c>
      <c r="I34" s="8">
        <v>0.05</v>
      </c>
      <c r="J34" s="5" t="s">
        <v>16</v>
      </c>
      <c r="K34" s="7">
        <v>1</v>
      </c>
    </row>
    <row r="35" spans="2:11" x14ac:dyDescent="0.45">
      <c r="B35" s="4">
        <f t="shared" si="2"/>
        <v>6</v>
      </c>
      <c r="C35" s="5" t="s">
        <v>7</v>
      </c>
      <c r="D35" s="5" t="s">
        <v>17</v>
      </c>
      <c r="E35" s="6">
        <v>0.09</v>
      </c>
      <c r="F35" s="4"/>
      <c r="G35" s="1">
        <f t="shared" si="3"/>
        <v>3</v>
      </c>
      <c r="I35" s="8">
        <v>0.4</v>
      </c>
      <c r="J35" s="5" t="s">
        <v>17</v>
      </c>
      <c r="K35" s="7">
        <v>5</v>
      </c>
    </row>
    <row r="36" spans="2:11" x14ac:dyDescent="0.45">
      <c r="B36" s="4">
        <f t="shared" si="2"/>
        <v>7</v>
      </c>
      <c r="C36" s="5" t="s">
        <v>8</v>
      </c>
      <c r="D36" s="5" t="s">
        <v>13</v>
      </c>
      <c r="E36" s="6">
        <v>0.05</v>
      </c>
      <c r="F36" s="4"/>
      <c r="G36" s="1">
        <f t="shared" si="3"/>
        <v>1</v>
      </c>
    </row>
    <row r="37" spans="2:11" x14ac:dyDescent="0.45">
      <c r="B37" s="4">
        <f t="shared" si="2"/>
        <v>8</v>
      </c>
      <c r="C37" s="5" t="s">
        <v>10</v>
      </c>
      <c r="D37" s="5" t="s">
        <v>14</v>
      </c>
      <c r="E37" s="6">
        <v>0.01</v>
      </c>
      <c r="F37" s="4"/>
      <c r="G37" s="1" t="str">
        <f t="shared" si="3"/>
        <v>Not Found</v>
      </c>
    </row>
    <row r="38" spans="2:11" x14ac:dyDescent="0.45">
      <c r="B38" s="4">
        <f t="shared" si="2"/>
        <v>9</v>
      </c>
      <c r="C38" s="5" t="s">
        <v>11</v>
      </c>
      <c r="D38" s="5" t="s">
        <v>18</v>
      </c>
      <c r="E38" s="6">
        <v>0.46</v>
      </c>
      <c r="F38" s="4"/>
      <c r="G38" s="1">
        <f t="shared" si="3"/>
        <v>5</v>
      </c>
    </row>
    <row r="39" spans="2:11" x14ac:dyDescent="0.45">
      <c r="B39" s="4">
        <f t="shared" si="2"/>
        <v>10</v>
      </c>
      <c r="C39" s="5" t="s">
        <v>12</v>
      </c>
      <c r="D39" s="5" t="s">
        <v>15</v>
      </c>
      <c r="E39" s="6">
        <v>0.37</v>
      </c>
      <c r="F39" s="4"/>
      <c r="G39" s="1">
        <f t="shared" si="3"/>
        <v>7</v>
      </c>
    </row>
    <row r="48" spans="2:11" x14ac:dyDescent="0.45">
      <c r="B48" s="9" t="s">
        <v>31</v>
      </c>
      <c r="C48" s="9"/>
      <c r="D48" s="9"/>
      <c r="E48" s="9"/>
      <c r="F48" s="9"/>
    </row>
    <row r="49" spans="2:11" x14ac:dyDescent="0.45">
      <c r="B49" s="9"/>
      <c r="C49" s="9"/>
      <c r="D49" s="9"/>
      <c r="E49" s="9"/>
      <c r="F49" s="9"/>
    </row>
    <row r="52" spans="2:11" x14ac:dyDescent="0.45">
      <c r="B52" s="2" t="s">
        <v>0</v>
      </c>
      <c r="C52" s="2" t="s">
        <v>2</v>
      </c>
      <c r="D52" s="2" t="s">
        <v>1</v>
      </c>
      <c r="E52" s="2" t="s">
        <v>24</v>
      </c>
      <c r="F52" s="3" t="s">
        <v>22</v>
      </c>
      <c r="I52" s="2" t="s">
        <v>23</v>
      </c>
      <c r="J52" s="2" t="s">
        <v>21</v>
      </c>
      <c r="K52" s="2" t="s">
        <v>22</v>
      </c>
    </row>
    <row r="53" spans="2:11" x14ac:dyDescent="0.45">
      <c r="B53" s="4">
        <f>1</f>
        <v>1</v>
      </c>
      <c r="C53" s="5" t="s">
        <v>3</v>
      </c>
      <c r="D53" s="5" t="s">
        <v>25</v>
      </c>
      <c r="E53" s="6">
        <v>0.19</v>
      </c>
      <c r="F53" s="4"/>
      <c r="G53" s="1">
        <f>_xlfn.XLOOKUP(D53&amp;"*",$J$53:$J$58,$K$53:$K$58,"not found",2,1)</f>
        <v>7</v>
      </c>
      <c r="I53" s="8">
        <v>0.2</v>
      </c>
      <c r="J53" s="5" t="s">
        <v>13</v>
      </c>
      <c r="K53" s="7">
        <v>7</v>
      </c>
    </row>
    <row r="54" spans="2:11" x14ac:dyDescent="0.45">
      <c r="B54" s="4">
        <f t="shared" ref="B54:B62" si="4">B53+1</f>
        <v>2</v>
      </c>
      <c r="C54" s="5" t="s">
        <v>4</v>
      </c>
      <c r="D54" s="5" t="s">
        <v>26</v>
      </c>
      <c r="E54" s="6">
        <v>0.18</v>
      </c>
      <c r="F54" s="4"/>
      <c r="G54" s="1">
        <f t="shared" ref="G54:G62" si="5">_xlfn.XLOOKUP(D54&amp;"*",$J$53:$J$58,$K$53:$K$58,"not found",2,1)</f>
        <v>6</v>
      </c>
      <c r="I54" s="8">
        <v>0.18</v>
      </c>
      <c r="J54" s="5" t="s">
        <v>14</v>
      </c>
      <c r="K54" s="7">
        <v>6</v>
      </c>
    </row>
    <row r="55" spans="2:11" x14ac:dyDescent="0.45">
      <c r="B55" s="4">
        <f t="shared" si="4"/>
        <v>3</v>
      </c>
      <c r="C55" s="5" t="s">
        <v>5</v>
      </c>
      <c r="D55" s="5" t="s">
        <v>27</v>
      </c>
      <c r="E55" s="6">
        <v>0.21</v>
      </c>
      <c r="F55" s="4"/>
      <c r="G55" s="1">
        <f t="shared" si="5"/>
        <v>7</v>
      </c>
      <c r="I55" s="8">
        <v>0.23</v>
      </c>
      <c r="J55" s="5" t="s">
        <v>15</v>
      </c>
      <c r="K55" s="7">
        <v>7</v>
      </c>
    </row>
    <row r="56" spans="2:11" x14ac:dyDescent="0.45">
      <c r="B56" s="4">
        <f t="shared" si="4"/>
        <v>4</v>
      </c>
      <c r="C56" s="5" t="s">
        <v>6</v>
      </c>
      <c r="D56" s="5" t="s">
        <v>28</v>
      </c>
      <c r="E56" s="6">
        <v>0.24</v>
      </c>
      <c r="F56" s="4"/>
      <c r="G56" s="1" t="str">
        <f t="shared" si="5"/>
        <v>not found</v>
      </c>
      <c r="I56" s="8">
        <v>7.0000000000000007E-2</v>
      </c>
      <c r="J56" s="5" t="s">
        <v>18</v>
      </c>
      <c r="K56" s="7">
        <v>3</v>
      </c>
    </row>
    <row r="57" spans="2:11" x14ac:dyDescent="0.45">
      <c r="B57" s="4">
        <f t="shared" si="4"/>
        <v>5</v>
      </c>
      <c r="C57" s="5" t="s">
        <v>9</v>
      </c>
      <c r="D57" s="5" t="s">
        <v>29</v>
      </c>
      <c r="E57" s="6">
        <v>0.08</v>
      </c>
      <c r="F57" s="4"/>
      <c r="G57" s="1">
        <f t="shared" si="5"/>
        <v>1</v>
      </c>
      <c r="I57" s="8">
        <v>0.05</v>
      </c>
      <c r="J57" s="5" t="s">
        <v>16</v>
      </c>
      <c r="K57" s="7">
        <v>1</v>
      </c>
    </row>
    <row r="58" spans="2:11" x14ac:dyDescent="0.45">
      <c r="B58" s="4">
        <f t="shared" si="4"/>
        <v>6</v>
      </c>
      <c r="C58" s="5" t="s">
        <v>7</v>
      </c>
      <c r="D58" s="5" t="s">
        <v>30</v>
      </c>
      <c r="E58" s="6">
        <v>0.09</v>
      </c>
      <c r="F58" s="4"/>
      <c r="G58" s="1">
        <f t="shared" si="5"/>
        <v>5</v>
      </c>
      <c r="I58" s="8">
        <v>0.4</v>
      </c>
      <c r="J58" s="5" t="s">
        <v>17</v>
      </c>
      <c r="K58" s="7">
        <v>5</v>
      </c>
    </row>
    <row r="59" spans="2:11" x14ac:dyDescent="0.45">
      <c r="B59" s="4">
        <f t="shared" si="4"/>
        <v>7</v>
      </c>
      <c r="C59" s="5" t="s">
        <v>8</v>
      </c>
      <c r="D59" s="5" t="s">
        <v>25</v>
      </c>
      <c r="E59" s="6">
        <v>0.05</v>
      </c>
      <c r="F59" s="4"/>
      <c r="G59" s="1">
        <f t="shared" si="5"/>
        <v>7</v>
      </c>
    </row>
    <row r="60" spans="2:11" x14ac:dyDescent="0.45">
      <c r="B60" s="4">
        <f t="shared" si="4"/>
        <v>8</v>
      </c>
      <c r="C60" s="5" t="s">
        <v>10</v>
      </c>
      <c r="D60" s="5" t="s">
        <v>26</v>
      </c>
      <c r="E60" s="6">
        <v>0.01</v>
      </c>
      <c r="F60" s="4"/>
      <c r="G60" s="1">
        <f t="shared" si="5"/>
        <v>6</v>
      </c>
    </row>
    <row r="61" spans="2:11" x14ac:dyDescent="0.45">
      <c r="B61" s="4">
        <f t="shared" si="4"/>
        <v>9</v>
      </c>
      <c r="C61" s="5" t="s">
        <v>11</v>
      </c>
      <c r="D61" s="5" t="s">
        <v>28</v>
      </c>
      <c r="E61" s="6">
        <v>0.46</v>
      </c>
      <c r="F61" s="4"/>
      <c r="G61" s="1" t="str">
        <f t="shared" si="5"/>
        <v>not found</v>
      </c>
    </row>
    <row r="62" spans="2:11" x14ac:dyDescent="0.45">
      <c r="B62" s="4">
        <f t="shared" si="4"/>
        <v>10</v>
      </c>
      <c r="C62" s="5" t="s">
        <v>12</v>
      </c>
      <c r="D62" s="5" t="s">
        <v>27</v>
      </c>
      <c r="E62" s="6">
        <v>0.37</v>
      </c>
      <c r="F62" s="4"/>
      <c r="G62" s="1">
        <f t="shared" si="5"/>
        <v>7</v>
      </c>
    </row>
    <row r="69" spans="2:11" ht="15" customHeight="1" x14ac:dyDescent="0.45">
      <c r="B69" s="9" t="s">
        <v>34</v>
      </c>
      <c r="C69" s="9"/>
      <c r="D69" s="9"/>
      <c r="E69" s="9"/>
      <c r="F69" s="9"/>
    </row>
    <row r="70" spans="2:11" ht="15" customHeight="1" x14ac:dyDescent="0.45">
      <c r="B70" s="9"/>
      <c r="C70" s="9"/>
      <c r="D70" s="9"/>
      <c r="E70" s="9"/>
      <c r="F70" s="9"/>
    </row>
    <row r="73" spans="2:11" x14ac:dyDescent="0.45">
      <c r="B73" s="2" t="s">
        <v>0</v>
      </c>
      <c r="C73" s="2" t="s">
        <v>2</v>
      </c>
      <c r="D73" s="2" t="s">
        <v>1</v>
      </c>
      <c r="E73" s="2" t="s">
        <v>24</v>
      </c>
      <c r="F73" s="3" t="s">
        <v>22</v>
      </c>
      <c r="I73" s="2" t="s">
        <v>23</v>
      </c>
      <c r="J73" s="2" t="s">
        <v>21</v>
      </c>
      <c r="K73" s="2" t="s">
        <v>22</v>
      </c>
    </row>
    <row r="74" spans="2:11" x14ac:dyDescent="0.45">
      <c r="B74" s="4">
        <f>1</f>
        <v>1</v>
      </c>
      <c r="C74" s="5" t="s">
        <v>3</v>
      </c>
      <c r="D74" s="5" t="s">
        <v>25</v>
      </c>
      <c r="E74" s="6">
        <v>0.19</v>
      </c>
      <c r="F74" s="4"/>
      <c r="G74" s="1">
        <f>_xlfn.XLOOKUP("*"&amp;D74&amp;"*",$J$53:$J$58,$K$53:$K$58,"not found",2,1)</f>
        <v>7</v>
      </c>
      <c r="I74" s="8">
        <v>0.2</v>
      </c>
      <c r="J74" s="5" t="s">
        <v>13</v>
      </c>
      <c r="K74" s="7">
        <v>7</v>
      </c>
    </row>
    <row r="75" spans="2:11" x14ac:dyDescent="0.45">
      <c r="B75" s="4">
        <f t="shared" ref="B75:B83" si="6">B74+1</f>
        <v>2</v>
      </c>
      <c r="C75" s="5" t="s">
        <v>4</v>
      </c>
      <c r="D75" s="5" t="s">
        <v>26</v>
      </c>
      <c r="E75" s="6">
        <v>0.18</v>
      </c>
      <c r="F75" s="4"/>
      <c r="G75" s="1">
        <f t="shared" ref="G75:G83" si="7">_xlfn.XLOOKUP("*"&amp;D75&amp;"*",$J$53:$J$58,$K$53:$K$58,"not found",2,1)</f>
        <v>6</v>
      </c>
      <c r="I75" s="8">
        <v>0.18</v>
      </c>
      <c r="J75" s="5" t="s">
        <v>14</v>
      </c>
      <c r="K75" s="7">
        <v>6</v>
      </c>
    </row>
    <row r="76" spans="2:11" x14ac:dyDescent="0.45">
      <c r="B76" s="4">
        <f t="shared" si="6"/>
        <v>3</v>
      </c>
      <c r="C76" s="5" t="s">
        <v>5</v>
      </c>
      <c r="D76" s="5" t="s">
        <v>27</v>
      </c>
      <c r="E76" s="6">
        <v>0.21</v>
      </c>
      <c r="F76" s="4"/>
      <c r="G76" s="1">
        <f t="shared" si="7"/>
        <v>7</v>
      </c>
      <c r="I76" s="8">
        <v>0.23</v>
      </c>
      <c r="J76" s="5" t="s">
        <v>15</v>
      </c>
      <c r="K76" s="7">
        <v>7</v>
      </c>
    </row>
    <row r="77" spans="2:11" x14ac:dyDescent="0.45">
      <c r="B77" s="4">
        <f t="shared" si="6"/>
        <v>4</v>
      </c>
      <c r="C77" s="5" t="s">
        <v>6</v>
      </c>
      <c r="D77" s="5" t="s">
        <v>28</v>
      </c>
      <c r="E77" s="6">
        <v>0.24</v>
      </c>
      <c r="F77" s="4"/>
      <c r="G77" s="1">
        <f t="shared" si="7"/>
        <v>3</v>
      </c>
      <c r="I77" s="8">
        <v>7.0000000000000007E-2</v>
      </c>
      <c r="J77" s="5" t="s">
        <v>35</v>
      </c>
      <c r="K77" s="7">
        <v>3</v>
      </c>
    </row>
    <row r="78" spans="2:11" x14ac:dyDescent="0.45">
      <c r="B78" s="4">
        <f t="shared" si="6"/>
        <v>5</v>
      </c>
      <c r="C78" s="5" t="s">
        <v>9</v>
      </c>
      <c r="D78" s="5" t="s">
        <v>29</v>
      </c>
      <c r="E78" s="6">
        <v>0.08</v>
      </c>
      <c r="F78" s="4"/>
      <c r="G78" s="1">
        <f t="shared" si="7"/>
        <v>1</v>
      </c>
      <c r="I78" s="8">
        <v>0.05</v>
      </c>
      <c r="J78" s="5" t="s">
        <v>16</v>
      </c>
      <c r="K78" s="7">
        <v>1</v>
      </c>
    </row>
    <row r="79" spans="2:11" x14ac:dyDescent="0.45">
      <c r="B79" s="4">
        <f t="shared" si="6"/>
        <v>6</v>
      </c>
      <c r="C79" s="5" t="s">
        <v>7</v>
      </c>
      <c r="D79" s="5" t="s">
        <v>30</v>
      </c>
      <c r="E79" s="6">
        <v>0.09</v>
      </c>
      <c r="F79" s="4"/>
      <c r="G79" s="1">
        <f t="shared" si="7"/>
        <v>5</v>
      </c>
      <c r="I79" s="8">
        <v>0.4</v>
      </c>
      <c r="J79" s="5" t="s">
        <v>17</v>
      </c>
      <c r="K79" s="7">
        <v>5</v>
      </c>
    </row>
    <row r="80" spans="2:11" x14ac:dyDescent="0.45">
      <c r="B80" s="4">
        <f t="shared" si="6"/>
        <v>7</v>
      </c>
      <c r="C80" s="5" t="s">
        <v>8</v>
      </c>
      <c r="D80" s="5" t="s">
        <v>25</v>
      </c>
      <c r="E80" s="6">
        <v>0.05</v>
      </c>
      <c r="F80" s="4"/>
      <c r="G80" s="1">
        <f t="shared" si="7"/>
        <v>7</v>
      </c>
    </row>
    <row r="81" spans="2:7" x14ac:dyDescent="0.45">
      <c r="B81" s="4">
        <f t="shared" si="6"/>
        <v>8</v>
      </c>
      <c r="C81" s="5" t="s">
        <v>10</v>
      </c>
      <c r="D81" s="5" t="s">
        <v>26</v>
      </c>
      <c r="E81" s="6">
        <v>0.01</v>
      </c>
      <c r="F81" s="4"/>
      <c r="G81" s="1">
        <f t="shared" si="7"/>
        <v>6</v>
      </c>
    </row>
    <row r="82" spans="2:7" x14ac:dyDescent="0.45">
      <c r="B82" s="4">
        <f t="shared" si="6"/>
        <v>9</v>
      </c>
      <c r="C82" s="5" t="s">
        <v>11</v>
      </c>
      <c r="D82" s="5" t="s">
        <v>28</v>
      </c>
      <c r="E82" s="6">
        <v>0.46</v>
      </c>
      <c r="F82" s="4"/>
      <c r="G82" s="1">
        <f t="shared" si="7"/>
        <v>3</v>
      </c>
    </row>
    <row r="83" spans="2:7" x14ac:dyDescent="0.45">
      <c r="B83" s="4">
        <f t="shared" si="6"/>
        <v>10</v>
      </c>
      <c r="C83" s="5" t="s">
        <v>12</v>
      </c>
      <c r="D83" s="5" t="s">
        <v>27</v>
      </c>
      <c r="E83" s="6">
        <v>0.37</v>
      </c>
      <c r="F83" s="4"/>
      <c r="G83" s="1">
        <f t="shared" si="7"/>
        <v>7</v>
      </c>
    </row>
  </sheetData>
  <mergeCells count="6">
    <mergeCell ref="B48:F49"/>
    <mergeCell ref="B69:F70"/>
    <mergeCell ref="B8:F8"/>
    <mergeCell ref="I8:K8"/>
    <mergeCell ref="B4:F5"/>
    <mergeCell ref="B25:F26"/>
  </mergeCells>
  <conditionalFormatting sqref="F10:F19">
    <cfRule type="cellIs" dxfId="3" priority="15" operator="equal">
      <formula>$G10</formula>
    </cfRule>
  </conditionalFormatting>
  <conditionalFormatting sqref="F30:F39">
    <cfRule type="cellIs" dxfId="2" priority="3" operator="equal">
      <formula>$G30</formula>
    </cfRule>
  </conditionalFormatting>
  <conditionalFormatting sqref="F53:F62">
    <cfRule type="cellIs" dxfId="1" priority="2" operator="equal">
      <formula>$G53</formula>
    </cfRule>
  </conditionalFormatting>
  <conditionalFormatting sqref="F74:F83">
    <cfRule type="cellIs" dxfId="0" priority="1" operator="equal">
      <formula>$G74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My-PC</dc:creator>
  <cp:lastModifiedBy>Kadhiravan Jayachandiran</cp:lastModifiedBy>
  <dcterms:created xsi:type="dcterms:W3CDTF">2021-10-19T11:46:22Z</dcterms:created>
  <dcterms:modified xsi:type="dcterms:W3CDTF">2026-03-25T18:42:06Z</dcterms:modified>
</cp:coreProperties>
</file>