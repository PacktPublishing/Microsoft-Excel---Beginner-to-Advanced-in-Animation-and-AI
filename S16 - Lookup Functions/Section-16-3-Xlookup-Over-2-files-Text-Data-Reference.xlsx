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8A4EECCF-779E-4482-A0E7-005B8041D18F}" xr6:coauthVersionLast="47" xr6:coauthVersionMax="47" xr10:uidLastSave="{00000000-0000-0000-0000-000000000000}"/>
  <bookViews>
    <workbookView xWindow="-98" yWindow="-98" windowWidth="25846" windowHeight="15661" xr2:uid="{275F1ADD-2E24-4F9A-A50F-DEEE17A443DF}"/>
  </bookViews>
  <sheets>
    <sheet name="Data" sheetId="2" r:id="rId1"/>
    <sheet name="Answer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E12" i="2"/>
  <c r="E13" i="2" s="1"/>
  <c r="E14" i="2" s="1"/>
  <c r="E15" i="2" s="1"/>
  <c r="E16" i="2" s="1"/>
  <c r="E17" i="2" s="1"/>
  <c r="E18" i="2" s="1"/>
  <c r="E19" i="2" s="1"/>
  <c r="E20" i="2" s="1"/>
  <c r="E21" i="2" s="1"/>
</calcChain>
</file>

<file path=xl/sharedStrings.xml><?xml version="1.0" encoding="utf-8"?>
<sst xmlns="http://schemas.openxmlformats.org/spreadsheetml/2006/main" count="57" uniqueCount="25">
  <si>
    <t>S.No</t>
  </si>
  <si>
    <t>Store Purchased</t>
  </si>
  <si>
    <t>Amount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</si>
  <si>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</si>
  <si>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</si>
  <si>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</si>
  <si>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</si>
  <si>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</si>
  <si>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</si>
  <si>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</si>
  <si>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</si>
  <si>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</si>
  <si>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</si>
  <si>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</si>
  <si>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</si>
  <si>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</si>
  <si>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</si>
  <si>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</si>
  <si>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</si>
  <si>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</si>
  <si>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</si>
  <si>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Transit Data</t>
  </si>
  <si>
    <t>No of Days in Transit</t>
  </si>
  <si>
    <t>Profit %</t>
  </si>
  <si>
    <t>Profit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</si>
</sst>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9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9" fontId="7" fillId="4" borderId="0" xfId="0" applyNumberFormat="1" applyFont="1" applyFill="1"/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138113</xdr:colOff>
          <xdr:row>1</xdr:row>
          <xdr:rowOff>52388</xdr:rowOff>
        </xdr:from>
        <xdr:to>
          <xdr:col>0</xdr:col>
          <xdr:colOff>414338</xdr:colOff>
          <xdr:row>3</xdr:row>
          <xdr:rowOff>157163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2F2F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1</xdr:row>
          <xdr:rowOff>47625</xdr:rowOff>
        </xdr:from>
        <xdr:to>
          <xdr:col>1</xdr:col>
          <xdr:colOff>438150</xdr:colOff>
          <xdr:row>3</xdr:row>
          <xdr:rowOff>142875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2F2F2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2%20files%20-%20Text%20&amp;%20Data%20Referenc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2%20files%20-%20Text%20&amp;%20Data%20Reference%2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0">
          <cell r="F10" t="str">
            <v>Merchant</v>
          </cell>
          <cell r="G10" t="str">
            <v>No of Days in Transit</v>
          </cell>
        </row>
        <row r="11">
          <cell r="F11" t="str">
            <v>Amazon</v>
          </cell>
          <cell r="G11">
            <v>7</v>
          </cell>
        </row>
        <row r="12">
          <cell r="F12" t="str">
            <v>Walmart</v>
          </cell>
          <cell r="G12">
            <v>6</v>
          </cell>
        </row>
        <row r="13">
          <cell r="F13" t="str">
            <v>Digifresh</v>
          </cell>
          <cell r="G13">
            <v>7</v>
          </cell>
        </row>
        <row r="14">
          <cell r="F14" t="str">
            <v>BigBasket</v>
          </cell>
          <cell r="G14">
            <v>3</v>
          </cell>
        </row>
        <row r="15">
          <cell r="F15" t="str">
            <v>Farmer</v>
          </cell>
          <cell r="G15">
            <v>1</v>
          </cell>
        </row>
        <row r="16">
          <cell r="F16" t="str">
            <v>Fruit Wholeseller</v>
          </cell>
          <cell r="G16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9">
          <cell r="F9" t="str">
            <v>Merchant</v>
          </cell>
          <cell r="G9" t="str">
            <v>Profit %</v>
          </cell>
        </row>
        <row r="10">
          <cell r="F10" t="str">
            <v>Amazon</v>
          </cell>
          <cell r="G10">
            <v>0.2</v>
          </cell>
        </row>
        <row r="11">
          <cell r="F11" t="str">
            <v>Walmart</v>
          </cell>
          <cell r="G11">
            <v>0.18</v>
          </cell>
        </row>
        <row r="12">
          <cell r="F12" t="str">
            <v>Digifresh</v>
          </cell>
          <cell r="G12">
            <v>0.23</v>
          </cell>
        </row>
        <row r="13">
          <cell r="F13" t="str">
            <v>BigBasket</v>
          </cell>
          <cell r="G13">
            <v>7.0000000000000007E-2</v>
          </cell>
        </row>
        <row r="14">
          <cell r="F14" t="str">
            <v>Farmer</v>
          </cell>
          <cell r="G14">
            <v>0.05</v>
          </cell>
        </row>
        <row r="15">
          <cell r="F15" t="str">
            <v>Fruit Wholeseller</v>
          </cell>
          <cell r="G15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A1:N21"/>
  <sheetViews>
    <sheetView showGridLines="0" tabSelected="1" zoomScale="120" zoomScaleNormal="120" workbookViewId="0">
      <selection activeCell="E10" sqref="E10:J10"/>
    </sheetView>
  </sheetViews>
  <sheetFormatPr defaultRowHeight="14.25" x14ac:dyDescent="0.45"/>
  <cols>
    <col min="4" max="4" width="13.1328125" bestFit="1" customWidth="1"/>
    <col min="5" max="5" width="16.59765625" bestFit="1" customWidth="1"/>
    <col min="7" max="7" width="20.73046875" customWidth="1"/>
    <col min="8" max="8" width="15.1328125" customWidth="1"/>
    <col min="9" max="9" width="17.6640625" bestFit="1" customWidth="1"/>
    <col min="10" max="10" width="11.73046875" customWidth="1"/>
    <col min="12" max="12" width="14.86328125" bestFit="1" customWidth="1"/>
    <col min="13" max="13" width="8" bestFit="1" customWidth="1"/>
    <col min="14" max="14" width="19.3984375" bestFit="1" customWidth="1"/>
  </cols>
  <sheetData>
    <row r="1" spans="1:14" x14ac:dyDescent="0.45">
      <c r="A1" s="13" t="s">
        <v>21</v>
      </c>
      <c r="B1" s="13" t="s">
        <v>24</v>
      </c>
    </row>
    <row r="5" spans="1:14" x14ac:dyDescent="0.45">
      <c r="L5" s="15" t="s">
        <v>21</v>
      </c>
      <c r="M5" s="15"/>
      <c r="N5" s="15"/>
    </row>
    <row r="6" spans="1:14" x14ac:dyDescent="0.45">
      <c r="L6" s="8"/>
      <c r="M6" s="8"/>
      <c r="N6" s="8"/>
    </row>
    <row r="7" spans="1:14" x14ac:dyDescent="0.45">
      <c r="L7" s="9"/>
      <c r="M7" s="10"/>
      <c r="N7" s="11"/>
    </row>
    <row r="8" spans="1:14" x14ac:dyDescent="0.45">
      <c r="L8" s="9"/>
      <c r="M8" s="10"/>
      <c r="N8" s="11"/>
    </row>
    <row r="9" spans="1:14" x14ac:dyDescent="0.45">
      <c r="L9" s="9"/>
      <c r="M9" s="10"/>
      <c r="N9" s="11"/>
    </row>
    <row r="10" spans="1:14" x14ac:dyDescent="0.45">
      <c r="E10" s="16" t="s">
        <v>20</v>
      </c>
      <c r="F10" s="16"/>
      <c r="G10" s="16"/>
      <c r="H10" s="16"/>
      <c r="I10" s="16"/>
      <c r="J10" s="16"/>
      <c r="M10" s="10"/>
      <c r="N10" s="11"/>
    </row>
    <row r="11" spans="1:14" x14ac:dyDescent="0.45">
      <c r="E11" s="1" t="s">
        <v>0</v>
      </c>
      <c r="F11" s="1" t="s">
        <v>3</v>
      </c>
      <c r="G11" s="1" t="s">
        <v>1</v>
      </c>
      <c r="H11" s="1" t="s">
        <v>2</v>
      </c>
      <c r="I11" s="2" t="s">
        <v>22</v>
      </c>
      <c r="J11" s="14" t="s">
        <v>23</v>
      </c>
      <c r="M11" s="10"/>
      <c r="N11" s="11"/>
    </row>
    <row r="12" spans="1:14" x14ac:dyDescent="0.45">
      <c r="E12" s="3">
        <f>1</f>
        <v>1</v>
      </c>
      <c r="F12" s="4" t="s">
        <v>4</v>
      </c>
      <c r="G12" s="4" t="s">
        <v>14</v>
      </c>
      <c r="H12" s="4">
        <v>311</v>
      </c>
      <c r="I12" s="3"/>
      <c r="J12" s="5"/>
      <c r="K12" s="6">
        <v>7</v>
      </c>
      <c r="L12" s="7">
        <v>0.2</v>
      </c>
      <c r="M12" s="10"/>
      <c r="N12" s="11"/>
    </row>
    <row r="13" spans="1:14" x14ac:dyDescent="0.45">
      <c r="E13" s="3">
        <f t="shared" ref="E13:E21" si="0">E12+1</f>
        <v>2</v>
      </c>
      <c r="F13" s="4" t="s">
        <v>5</v>
      </c>
      <c r="G13" s="4" t="s">
        <v>15</v>
      </c>
      <c r="H13" s="4">
        <v>543</v>
      </c>
      <c r="I13" s="3"/>
      <c r="J13" s="5"/>
      <c r="K13" s="6">
        <v>6</v>
      </c>
      <c r="L13" s="7">
        <v>0.18</v>
      </c>
      <c r="M13" s="12"/>
      <c r="N13" s="12"/>
    </row>
    <row r="14" spans="1:14" x14ac:dyDescent="0.45">
      <c r="E14" s="3">
        <f t="shared" si="0"/>
        <v>3</v>
      </c>
      <c r="F14" s="4" t="s">
        <v>6</v>
      </c>
      <c r="G14" s="4" t="s">
        <v>16</v>
      </c>
      <c r="H14" s="4">
        <v>338</v>
      </c>
      <c r="I14" s="3"/>
      <c r="J14" s="5"/>
      <c r="K14" s="6">
        <v>7</v>
      </c>
      <c r="L14" s="7">
        <v>0.23</v>
      </c>
      <c r="M14" s="12"/>
      <c r="N14" s="12"/>
    </row>
    <row r="15" spans="1:14" x14ac:dyDescent="0.45">
      <c r="E15" s="3">
        <f t="shared" si="0"/>
        <v>4</v>
      </c>
      <c r="F15" s="4" t="s">
        <v>7</v>
      </c>
      <c r="G15" s="4" t="s">
        <v>19</v>
      </c>
      <c r="H15" s="4">
        <v>308</v>
      </c>
      <c r="I15" s="3"/>
      <c r="J15" s="5"/>
      <c r="K15" s="6">
        <v>3</v>
      </c>
      <c r="L15" s="7">
        <v>7.0000000000000007E-2</v>
      </c>
      <c r="M15" s="12"/>
      <c r="N15" s="12"/>
    </row>
    <row r="16" spans="1:14" x14ac:dyDescent="0.45">
      <c r="E16" s="3">
        <f t="shared" si="0"/>
        <v>5</v>
      </c>
      <c r="F16" s="4" t="s">
        <v>10</v>
      </c>
      <c r="G16" s="4" t="s">
        <v>17</v>
      </c>
      <c r="H16" s="4">
        <v>499</v>
      </c>
      <c r="I16" s="3"/>
      <c r="J16" s="5"/>
      <c r="K16" s="6">
        <v>1</v>
      </c>
      <c r="L16" s="7">
        <v>0.05</v>
      </c>
      <c r="M16" s="12"/>
      <c r="N16" s="12"/>
    </row>
    <row r="17" spans="5:14" x14ac:dyDescent="0.45">
      <c r="E17" s="3">
        <f t="shared" si="0"/>
        <v>6</v>
      </c>
      <c r="F17" s="4" t="s">
        <v>8</v>
      </c>
      <c r="G17" s="4" t="s">
        <v>18</v>
      </c>
      <c r="H17" s="4">
        <v>366</v>
      </c>
      <c r="I17" s="3"/>
      <c r="J17" s="5"/>
      <c r="K17" s="6">
        <v>5</v>
      </c>
      <c r="L17" s="7">
        <v>0.4</v>
      </c>
      <c r="M17" s="12"/>
      <c r="N17" s="12"/>
    </row>
    <row r="18" spans="5:14" x14ac:dyDescent="0.45">
      <c r="E18" s="3">
        <f t="shared" si="0"/>
        <v>7</v>
      </c>
      <c r="F18" s="4" t="s">
        <v>9</v>
      </c>
      <c r="G18" s="4" t="s">
        <v>14</v>
      </c>
      <c r="H18" s="4">
        <v>452</v>
      </c>
      <c r="I18" s="3"/>
      <c r="J18" s="5"/>
      <c r="K18" s="6">
        <v>7</v>
      </c>
      <c r="L18" s="7">
        <v>0.2</v>
      </c>
    </row>
    <row r="19" spans="5:14" x14ac:dyDescent="0.45">
      <c r="E19" s="3">
        <f t="shared" si="0"/>
        <v>8</v>
      </c>
      <c r="F19" s="4" t="s">
        <v>11</v>
      </c>
      <c r="G19" s="4" t="s">
        <v>15</v>
      </c>
      <c r="H19" s="4">
        <v>369</v>
      </c>
      <c r="I19" s="3"/>
      <c r="J19" s="5"/>
      <c r="K19" s="6">
        <v>6</v>
      </c>
      <c r="L19" s="7">
        <v>0.18</v>
      </c>
    </row>
    <row r="20" spans="5:14" x14ac:dyDescent="0.45">
      <c r="E20" s="3">
        <f t="shared" si="0"/>
        <v>9</v>
      </c>
      <c r="F20" s="4" t="s">
        <v>12</v>
      </c>
      <c r="G20" s="4" t="s">
        <v>19</v>
      </c>
      <c r="H20" s="4">
        <v>332</v>
      </c>
      <c r="I20" s="3"/>
      <c r="J20" s="5"/>
      <c r="K20" s="6">
        <v>3</v>
      </c>
      <c r="L20" s="7">
        <v>7.0000000000000007E-2</v>
      </c>
    </row>
    <row r="21" spans="5:14" x14ac:dyDescent="0.45">
      <c r="E21" s="3">
        <f t="shared" si="0"/>
        <v>10</v>
      </c>
      <c r="F21" s="4" t="s">
        <v>13</v>
      </c>
      <c r="G21" s="4" t="s">
        <v>16</v>
      </c>
      <c r="H21" s="4">
        <v>485</v>
      </c>
      <c r="I21" s="3"/>
      <c r="J21" s="5"/>
      <c r="K21" s="6">
        <v>7</v>
      </c>
      <c r="L21" s="7">
        <v>0.23</v>
      </c>
    </row>
  </sheetData>
  <mergeCells count="2">
    <mergeCell ref="L5:N5"/>
    <mergeCell ref="E10:J10"/>
  </mergeCells>
  <conditionalFormatting sqref="I12:I21">
    <cfRule type="cellIs" dxfId="3" priority="14" operator="equal">
      <formula>$K12</formula>
    </cfRule>
  </conditionalFormatting>
  <conditionalFormatting sqref="J12:J21">
    <cfRule type="cellIs" dxfId="2" priority="16" operator="equal">
      <formula>$L12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3073" r:id="rId4">
          <objectPr defaultSize="0" autoPict="0" r:id="rId5">
            <anchor moveWithCells="1">
              <from>
                <xdr:col>0</xdr:col>
                <xdr:colOff>138113</xdr:colOff>
                <xdr:row>1</xdr:row>
                <xdr:rowOff>52388</xdr:rowOff>
              </from>
              <to>
                <xdr:col>0</xdr:col>
                <xdr:colOff>414338</xdr:colOff>
                <xdr:row>3</xdr:row>
                <xdr:rowOff>157163</xdr:rowOff>
              </to>
            </anchor>
          </objectPr>
        </oleObject>
      </mc:Choice>
      <mc:Fallback>
        <oleObject progId="Worksheet" dvAspect="DVASPECT_ICON" shapeId="3073" r:id="rId4"/>
      </mc:Fallback>
    </mc:AlternateContent>
    <mc:AlternateContent xmlns:mc="http://schemas.openxmlformats.org/markup-compatibility/2006">
      <mc:Choice Requires="x14">
        <oleObject progId="Worksheet" dvAspect="DVASPECT_ICON" shapeId="3074" r:id="rId6">
          <objectPr defaultSize="0" autoPict="0" r:id="rId5">
            <anchor moveWithCells="1">
              <from>
                <xdr:col>1</xdr:col>
                <xdr:colOff>200025</xdr:colOff>
                <xdr:row>1</xdr:row>
                <xdr:rowOff>47625</xdr:rowOff>
              </from>
              <to>
                <xdr:col>1</xdr:col>
                <xdr:colOff>438150</xdr:colOff>
                <xdr:row>3</xdr:row>
                <xdr:rowOff>142875</xdr:rowOff>
              </to>
            </anchor>
          </objectPr>
        </oleObject>
      </mc:Choice>
      <mc:Fallback>
        <oleObject progId="Worksheet" dvAspect="DVASPECT_ICON" shapeId="3074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C7:J18"/>
  <sheetViews>
    <sheetView showGridLines="0" zoomScale="148" zoomScaleNormal="148" workbookViewId="0">
      <selection activeCell="G9" sqref="G9"/>
    </sheetView>
  </sheetViews>
  <sheetFormatPr defaultRowHeight="14.25" x14ac:dyDescent="0.45"/>
  <cols>
    <col min="4" max="4" width="13.1328125" bestFit="1" customWidth="1"/>
    <col min="5" max="5" width="16.59765625" bestFit="1" customWidth="1"/>
    <col min="7" max="7" width="20.73046875" customWidth="1"/>
    <col min="8" max="9" width="15.1328125" customWidth="1"/>
    <col min="10" max="10" width="16.59765625" bestFit="1" customWidth="1"/>
    <col min="12" max="12" width="14.86328125" bestFit="1" customWidth="1"/>
    <col min="13" max="13" width="8" bestFit="1" customWidth="1"/>
    <col min="14" max="14" width="19.3984375" bestFit="1" customWidth="1"/>
  </cols>
  <sheetData>
    <row r="7" spans="3:10" x14ac:dyDescent="0.45">
      <c r="C7" s="16" t="s">
        <v>20</v>
      </c>
      <c r="D7" s="16"/>
      <c r="E7" s="16"/>
      <c r="F7" s="16"/>
      <c r="G7" s="16"/>
      <c r="H7" s="16"/>
    </row>
    <row r="8" spans="3:10" x14ac:dyDescent="0.45">
      <c r="C8" s="1" t="s">
        <v>0</v>
      </c>
      <c r="D8" s="1" t="s">
        <v>3</v>
      </c>
      <c r="E8" s="1" t="s">
        <v>1</v>
      </c>
      <c r="F8" s="1" t="s">
        <v>2</v>
      </c>
      <c r="G8" s="2" t="s">
        <v>22</v>
      </c>
      <c r="H8" s="2" t="s">
        <v>23</v>
      </c>
    </row>
    <row r="9" spans="3:10" x14ac:dyDescent="0.45">
      <c r="C9" s="3">
        <f>1</f>
        <v>1</v>
      </c>
      <c r="D9" s="4" t="s">
        <v>4</v>
      </c>
      <c r="E9" s="4" t="s">
        <v>14</v>
      </c>
      <c r="F9" s="4">
        <v>311</v>
      </c>
      <c r="G9" s="3">
        <f>_xlfn.XLOOKUP(E9,[1]Sheet1!$F$10:$F$16,[1]Sheet1!$G$10:$G$16,"Not Avaialble",0,1)</f>
        <v>7</v>
      </c>
      <c r="H9" s="5">
        <f>_xlfn.XLOOKUP(E9,[2]Sheet1!$F$9:$F$15,[2]Sheet1!$G$9:$G$15,"Not Found",0,1)</f>
        <v>0.2</v>
      </c>
      <c r="I9" s="6">
        <v>7</v>
      </c>
      <c r="J9" s="7">
        <v>0.2</v>
      </c>
    </row>
    <row r="10" spans="3:10" x14ac:dyDescent="0.45">
      <c r="C10" s="3">
        <f t="shared" ref="C10:C18" si="0">C9+1</f>
        <v>2</v>
      </c>
      <c r="D10" s="4" t="s">
        <v>5</v>
      </c>
      <c r="E10" s="4" t="s">
        <v>15</v>
      </c>
      <c r="F10" s="4">
        <v>543</v>
      </c>
      <c r="G10" s="3">
        <f>_xlfn.XLOOKUP(E10,[1]Sheet1!$F$10:$F$16,[1]Sheet1!$G$10:$G$16,"Not Avaialble",0,1)</f>
        <v>6</v>
      </c>
      <c r="H10" s="5">
        <f>_xlfn.XLOOKUP(E10,[2]Sheet1!$F$9:$F$15,[2]Sheet1!$G$9:$G$15,"Not Found",0,1)</f>
        <v>0.18</v>
      </c>
      <c r="I10" s="6">
        <v>6</v>
      </c>
      <c r="J10" s="7">
        <v>0.18</v>
      </c>
    </row>
    <row r="11" spans="3:10" x14ac:dyDescent="0.45">
      <c r="C11" s="3">
        <f t="shared" si="0"/>
        <v>3</v>
      </c>
      <c r="D11" s="4" t="s">
        <v>6</v>
      </c>
      <c r="E11" s="4" t="s">
        <v>16</v>
      </c>
      <c r="F11" s="4">
        <v>338</v>
      </c>
      <c r="G11" s="3">
        <f>_xlfn.XLOOKUP(E11,[1]Sheet1!$F$10:$F$16,[1]Sheet1!$G$10:$G$16,"Not Avaialble",0,1)</f>
        <v>7</v>
      </c>
      <c r="H11" s="5">
        <f>_xlfn.XLOOKUP(E11,[2]Sheet1!$F$9:$F$15,[2]Sheet1!$G$9:$G$15,"Not Found",0,1)</f>
        <v>0.23</v>
      </c>
      <c r="I11" s="6">
        <v>7</v>
      </c>
      <c r="J11" s="7">
        <v>0.23</v>
      </c>
    </row>
    <row r="12" spans="3:10" x14ac:dyDescent="0.45">
      <c r="C12" s="3">
        <f t="shared" si="0"/>
        <v>4</v>
      </c>
      <c r="D12" s="4" t="s">
        <v>7</v>
      </c>
      <c r="E12" s="4" t="s">
        <v>19</v>
      </c>
      <c r="F12" s="4">
        <v>308</v>
      </c>
      <c r="G12" s="3">
        <f>_xlfn.XLOOKUP(E12,[1]Sheet1!$F$10:$F$16,[1]Sheet1!$G$10:$G$16,"Not Avaialble",0,1)</f>
        <v>3</v>
      </c>
      <c r="H12" s="5">
        <f>_xlfn.XLOOKUP(E12,[2]Sheet1!$F$9:$F$15,[2]Sheet1!$G$9:$G$15,"Not Found",0,1)</f>
        <v>7.0000000000000007E-2</v>
      </c>
      <c r="I12" s="6">
        <v>3</v>
      </c>
      <c r="J12" s="7">
        <v>7.0000000000000007E-2</v>
      </c>
    </row>
    <row r="13" spans="3:10" x14ac:dyDescent="0.45">
      <c r="C13" s="3">
        <f t="shared" si="0"/>
        <v>5</v>
      </c>
      <c r="D13" s="4" t="s">
        <v>10</v>
      </c>
      <c r="E13" s="4" t="s">
        <v>17</v>
      </c>
      <c r="F13" s="4">
        <v>499</v>
      </c>
      <c r="G13" s="3">
        <f>_xlfn.XLOOKUP(E13,[1]Sheet1!$F$10:$F$16,[1]Sheet1!$G$10:$G$16,"Not Avaialble",0,1)</f>
        <v>1</v>
      </c>
      <c r="H13" s="5">
        <f>_xlfn.XLOOKUP(E13,[2]Sheet1!$F$9:$F$15,[2]Sheet1!$G$9:$G$15,"Not Found",0,1)</f>
        <v>0.05</v>
      </c>
      <c r="I13" s="6">
        <v>1</v>
      </c>
      <c r="J13" s="7">
        <v>0.05</v>
      </c>
    </row>
    <row r="14" spans="3:10" x14ac:dyDescent="0.45">
      <c r="C14" s="3">
        <f t="shared" si="0"/>
        <v>6</v>
      </c>
      <c r="D14" s="4" t="s">
        <v>8</v>
      </c>
      <c r="E14" s="4" t="s">
        <v>18</v>
      </c>
      <c r="F14" s="4">
        <v>366</v>
      </c>
      <c r="G14" s="3">
        <f>_xlfn.XLOOKUP(E14,[1]Sheet1!$F$10:$F$16,[1]Sheet1!$G$10:$G$16,"Not Avaialble",0,1)</f>
        <v>5</v>
      </c>
      <c r="H14" s="5">
        <f>_xlfn.XLOOKUP(E14,[2]Sheet1!$F$9:$F$15,[2]Sheet1!$G$9:$G$15,"Not Found",0,1)</f>
        <v>0.4</v>
      </c>
      <c r="I14" s="6">
        <v>5</v>
      </c>
      <c r="J14" s="7">
        <v>0.4</v>
      </c>
    </row>
    <row r="15" spans="3:10" x14ac:dyDescent="0.45">
      <c r="C15" s="3">
        <f t="shared" si="0"/>
        <v>7</v>
      </c>
      <c r="D15" s="4" t="s">
        <v>9</v>
      </c>
      <c r="E15" s="4" t="s">
        <v>14</v>
      </c>
      <c r="F15" s="4">
        <v>452</v>
      </c>
      <c r="G15" s="3">
        <f>_xlfn.XLOOKUP(E15,[1]Sheet1!$F$10:$F$16,[1]Sheet1!$G$10:$G$16,"Not Avaialble",0,1)</f>
        <v>7</v>
      </c>
      <c r="H15" s="5">
        <f>_xlfn.XLOOKUP(E15,[2]Sheet1!$F$9:$F$15,[2]Sheet1!$G$9:$G$15,"Not Found",0,1)</f>
        <v>0.2</v>
      </c>
      <c r="I15" s="6">
        <v>7</v>
      </c>
      <c r="J15" s="7">
        <v>0.2</v>
      </c>
    </row>
    <row r="16" spans="3:10" x14ac:dyDescent="0.45">
      <c r="C16" s="3">
        <f t="shared" si="0"/>
        <v>8</v>
      </c>
      <c r="D16" s="4" t="s">
        <v>11</v>
      </c>
      <c r="E16" s="4" t="s">
        <v>15</v>
      </c>
      <c r="F16" s="4">
        <v>369</v>
      </c>
      <c r="G16" s="3">
        <f>_xlfn.XLOOKUP(E16,[1]Sheet1!$F$10:$F$16,[1]Sheet1!$G$10:$G$16,"Not Avaialble",0,1)</f>
        <v>6</v>
      </c>
      <c r="H16" s="5">
        <f>_xlfn.XLOOKUP(E16,[2]Sheet1!$F$9:$F$15,[2]Sheet1!$G$9:$G$15,"Not Found",0,1)</f>
        <v>0.18</v>
      </c>
      <c r="I16" s="6">
        <v>6</v>
      </c>
      <c r="J16" s="7">
        <v>0.18</v>
      </c>
    </row>
    <row r="17" spans="3:10" x14ac:dyDescent="0.45">
      <c r="C17" s="3">
        <f t="shared" si="0"/>
        <v>9</v>
      </c>
      <c r="D17" s="4" t="s">
        <v>12</v>
      </c>
      <c r="E17" s="4" t="s">
        <v>19</v>
      </c>
      <c r="F17" s="4">
        <v>332</v>
      </c>
      <c r="G17" s="3">
        <f>_xlfn.XLOOKUP(E17,[1]Sheet1!$F$10:$F$16,[1]Sheet1!$G$10:$G$16,"Not Avaialble",0,1)</f>
        <v>3</v>
      </c>
      <c r="H17" s="5">
        <f>_xlfn.XLOOKUP(E17,[2]Sheet1!$F$9:$F$15,[2]Sheet1!$G$9:$G$15,"Not Found",0,1)</f>
        <v>7.0000000000000007E-2</v>
      </c>
      <c r="I17" s="6">
        <v>3</v>
      </c>
      <c r="J17" s="7">
        <v>7.0000000000000007E-2</v>
      </c>
    </row>
    <row r="18" spans="3:10" x14ac:dyDescent="0.45">
      <c r="C18" s="3">
        <f t="shared" si="0"/>
        <v>10</v>
      </c>
      <c r="D18" s="4" t="s">
        <v>13</v>
      </c>
      <c r="E18" s="4" t="s">
        <v>16</v>
      </c>
      <c r="F18" s="4">
        <v>485</v>
      </c>
      <c r="G18" s="3">
        <f>_xlfn.XLOOKUP(E18,[1]Sheet1!$F$10:$F$16,[1]Sheet1!$G$10:$G$16,"Not Avaialble",0,1)</f>
        <v>7</v>
      </c>
      <c r="H18" s="5">
        <f>_xlfn.XLOOKUP(E18,[2]Sheet1!$F$9:$F$15,[2]Sheet1!$G$9:$G$15,"Not Found",0,1)</f>
        <v>0.23</v>
      </c>
      <c r="I18" s="6">
        <v>7</v>
      </c>
      <c r="J18" s="7">
        <v>0.23</v>
      </c>
    </row>
  </sheetData>
  <mergeCells count="1">
    <mergeCell ref="C7:H7"/>
  </mergeCells>
  <conditionalFormatting sqref="G9:G18">
    <cfRule type="cellIs" dxfId="1" priority="2" operator="equal">
      <formula>$I9</formula>
    </cfRule>
  </conditionalFormatting>
  <conditionalFormatting sqref="H9:H18">
    <cfRule type="cellIs" dxfId="0" priority="1" operator="equal">
      <formula>$J9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Kadhiravan Jayachandiran</cp:lastModifiedBy>
  <dcterms:created xsi:type="dcterms:W3CDTF">2021-10-19T11:46:22Z</dcterms:created>
  <dcterms:modified xsi:type="dcterms:W3CDTF">2026-03-25T16:16:31Z</dcterms:modified>
</cp:coreProperties>
</file>