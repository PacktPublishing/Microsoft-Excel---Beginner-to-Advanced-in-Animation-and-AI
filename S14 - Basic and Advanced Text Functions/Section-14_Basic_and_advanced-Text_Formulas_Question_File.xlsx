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ac\Home\Desktop\Practice Files\Excel Formulas\"/>
    </mc:Choice>
  </mc:AlternateContent>
  <xr:revisionPtr revIDLastSave="0" documentId="13_ncr:1_{0ECF04FC-81E3-4EE1-B261-3F5D7399EF23}" xr6:coauthVersionLast="47" xr6:coauthVersionMax="47" xr10:uidLastSave="{00000000-0000-0000-0000-000000000000}"/>
  <bookViews>
    <workbookView xWindow="-98" yWindow="-98" windowWidth="25846" windowHeight="15661" xr2:uid="{7D65AE5E-B855-4ACF-991B-4713640FBF75}"/>
  </bookViews>
  <sheets>
    <sheet name="L_R_Mid" sheetId="45" r:id="rId1"/>
    <sheet name="UP_Lo_Prop" sheetId="44" r:id="rId2"/>
    <sheet name="TRIM-LEN" sheetId="48" r:id="rId3"/>
    <sheet name="Find_REP_SUBS" sheetId="50" r:id="rId4"/>
    <sheet name="CON_TEXJ" sheetId="43" r:id="rId5"/>
    <sheet name="Tafter-bef" sheetId="49" r:id="rId6"/>
    <sheet name="TSplit" sheetId="54" r:id="rId7"/>
    <sheet name="TEXT" sheetId="51" r:id="rId8"/>
    <sheet name="Transl" sheetId="53" r:id="rId9"/>
    <sheet name="assignment" sheetId="57" r:id="rId10"/>
    <sheet name="Substitute and Replace" sheetId="46" state="hidden" r:id="rId11"/>
    <sheet name="Date Formulas" sheetId="47" state="hidden" r:id="rId12"/>
  </sheets>
  <calcPr calcId="191029"/>
  <customWorkbookViews>
    <customWorkbookView name="min" guid="{4725FB26-BADE-478E-8CB6-C0172942A9EE}" maximized="1" xWindow="-8" yWindow="-8" windowWidth="1382" windowHeight="784" activeSheetId="14"/>
    <customWorkbookView name="max" guid="{5B82F60B-B869-45D3-9A7D-2B843E789197}" maximized="1" xWindow="-8" yWindow="-8" windowWidth="1382" windowHeight="784" activeSheetId="13"/>
    <customWorkbookView name="counta" guid="{73745901-4C3A-49DD-83C4-0AEBB167DB63}" maximized="1" xWindow="-8" yWindow="-8" windowWidth="1382" windowHeight="784" activeSheetId="12"/>
    <customWorkbookView name="count" guid="{AE37E6D9-7485-4A75-9115-FDBD1A6E08D0}" maximized="1" xWindow="-8" yWindow="-8" windowWidth="1382" windowHeight="784" activeSheetId="11"/>
    <customWorkbookView name="average" guid="{28C5C254-2672-4A7F-9398-2FA6F99EE3FF}" maximized="1" xWindow="-8" yWindow="-8" windowWidth="1382" windowHeight="784" activeSheetId="10"/>
    <customWorkbookView name="sum" guid="{9967D63C-4135-4BF7-A83B-0EC0A28A8504}" maximized="1" xWindow="-8" yWindow="-8" windowWidth="1382" windowHeight="784" activeSheetId="9"/>
    <customWorkbookView name="mid" guid="{8DC39A41-9961-4A5C-8659-B8A82A01A470}" maximized="1" xWindow="-8" yWindow="-8" windowWidth="1382" windowHeight="784" activeSheetId="45"/>
    <customWorkbookView name="right" guid="{06F040C9-291C-44DD-A11A-B2BAF2078CA1}" maximized="1" xWindow="-8" yWindow="-8" windowWidth="1382" windowHeight="784" activeSheetId="45"/>
    <customWorkbookView name="left" guid="{AC1AC0BB-7D81-4427-80BF-DB36D3CC12C1}" maximized="1" xWindow="-8" yWindow="-8" windowWidth="1382" windowHeight="784" activeSheetId="45"/>
    <customWorkbookView name="proper" guid="{31F90F3E-FB31-437F-ADCE-44D58804C41D}" maximized="1" xWindow="-8" yWindow="-8" windowWidth="1382" windowHeight="784" activeSheetId="44"/>
    <customWorkbookView name="lower" guid="{57F7A421-8FD3-4470-813D-526D207C0AED}" maximized="1" xWindow="-8" yWindow="-8" windowWidth="1382" windowHeight="784" activeSheetId="44"/>
    <customWorkbookView name="upper" guid="{E065FC95-9F37-4AD0-A6AF-202A080459EB}" maximized="1" xWindow="-8" yWindow="-8" windowWidth="1382" windowHeight="784" activeSheetId="44"/>
    <customWorkbookView name="textjoin" guid="{A979108F-FF23-4967-8663-1A0C9618D854}" maximized="1" xWindow="-8" yWindow="-8" windowWidth="1382" windowHeight="784" activeSheetId="43"/>
    <customWorkbookView name="concat" guid="{AD9596A8-734D-48AD-8922-A58933E39AB8}" maximized="1" xWindow="-8" yWindow="-8" windowWidth="1382" windowHeight="784" activeSheetId="43"/>
    <customWorkbookView name="hardconcat" guid="{DFB07116-697D-42FF-ACBD-E8FE92938B16}" maximized="1" xWindow="-8" yWindow="-8" windowWidth="1382" windowHeight="784" activeSheetId="43"/>
    <customWorkbookView name="mround" guid="{2032DE14-E33D-44B5-9022-A2B48F059704}" maximized="1" xWindow="-8" yWindow="-8" windowWidth="1382" windowHeight="784" activeSheetId="40"/>
    <customWorkbookView name="rounddown" guid="{EE4A95A5-BF42-4BAA-B9EB-84A9230A28F9}" maximized="1" xWindow="-8" yWindow="-8" windowWidth="1382" windowHeight="784" activeSheetId="40"/>
    <customWorkbookView name="roundup" guid="{8BEA0E04-8B9A-4A2D-9B80-4E7685E22D5E}" maximized="1" xWindow="-8" yWindow="-8" windowWidth="1382" windowHeight="784" activeSheetId="40"/>
    <customWorkbookView name="ceiling" guid="{0125BE01-BBC8-4E5A-9A9A-3D1257916B8C}" maximized="1" xWindow="-8" yWindow="-8" windowWidth="1382" windowHeight="784" activeSheetId="35"/>
    <customWorkbookView name="floor" guid="{7A9AB605-DB82-470C-B86B-95E2AB3523F6}" maximized="1" xWindow="-8" yWindow="-8" windowWidth="1382" windowHeight="784" activeSheetId="35"/>
    <customWorkbookView name="minifs8" guid="{FC8D231F-57F9-45EE-9DEF-D7ED111600EB}" maximized="1" xWindow="-8" yWindow="-8" windowWidth="1382" windowHeight="784" activeSheetId="34"/>
    <customWorkbookView name="minifs7" guid="{395DC3D6-3299-4A43-88E2-62703FCC0349}" maximized="1" xWindow="-8" yWindow="-8" windowWidth="1382" windowHeight="784" activeSheetId="34"/>
    <customWorkbookView name="minifs6" guid="{5C8F4C13-387F-42D2-8CB5-92C4886D7919}" maximized="1" xWindow="-8" yWindow="-8" windowWidth="1382" windowHeight="784" activeSheetId="34"/>
    <customWorkbookView name="minifs5" guid="{8A25BF65-C908-4B2F-9805-3CD39BD4330E}" maximized="1" xWindow="-8" yWindow="-8" windowWidth="1382" windowHeight="784" activeSheetId="34"/>
    <customWorkbookView name="minifs4" guid="{F9A03991-7A83-41AE-B603-3D22265CDA22}" maximized="1" xWindow="-8" yWindow="-8" windowWidth="1382" windowHeight="784" activeSheetId="34"/>
    <customWorkbookView name="minifs3" guid="{FEB5A49F-F7F7-412A-BE72-F90F7A4799C8}" maximized="1" xWindow="-8" yWindow="-8" windowWidth="1382" windowHeight="784" activeSheetId="34"/>
    <customWorkbookView name="minifs2" guid="{F518ECB9-5D92-41E0-BFD2-C5175A02444D}" maximized="1" xWindow="-8" yWindow="-8" windowWidth="1382" windowHeight="784" activeSheetId="34"/>
    <customWorkbookView name="minifs1" guid="{BCAB4838-A37A-4BCF-A9C9-CC50C95F58C7}" maximized="1" xWindow="-8" yWindow="-8" windowWidth="1382" windowHeight="784" activeSheetId="34"/>
    <customWorkbookView name="maxifs8" guid="{C4FE72FA-CBE8-407E-8EC2-C280F8FC5007}" maximized="1" xWindow="-8" yWindow="-8" windowWidth="1382" windowHeight="784" activeSheetId="33"/>
    <customWorkbookView name="maxifs7" guid="{38FB2C7A-5CFF-4CFC-8EEB-670D05614592}" maximized="1" xWindow="-8" yWindow="-8" windowWidth="1382" windowHeight="784" activeSheetId="33"/>
    <customWorkbookView name="maxifs6" guid="{40292D04-273C-4BA2-8BEC-F145CB80DE09}" maximized="1" xWindow="-8" yWindow="-8" windowWidth="1382" windowHeight="784" activeSheetId="33"/>
    <customWorkbookView name="maxifs5" guid="{3803F984-A279-41F1-A517-160B18D90A7B}" maximized="1" xWindow="-8" yWindow="-8" windowWidth="1382" windowHeight="784" activeSheetId="33"/>
    <customWorkbookView name="maxifs4" guid="{66733AAA-1B52-4C53-8317-97DE8A748E25}" maximized="1" xWindow="-8" yWindow="-8" windowWidth="1382" windowHeight="784" activeSheetId="33"/>
    <customWorkbookView name="maxifs3" guid="{7FCE83C1-0279-4E15-8ADF-7AE60DC9131C}" maximized="1" xWindow="-8" yWindow="-8" windowWidth="1382" windowHeight="784" activeSheetId="33"/>
    <customWorkbookView name="maxifs2" guid="{F92D650A-7143-46D6-8CDA-595FA977193F}" maximized="1" xWindow="-8" yWindow="-8" windowWidth="1382" windowHeight="784" activeSheetId="33"/>
    <customWorkbookView name="maxifs1" guid="{C2D3B09E-3326-4084-AD7A-C8013F4130D6}" maximized="1" xWindow="-8" yWindow="-8" windowWidth="1382" windowHeight="784" activeSheetId="33"/>
    <customWorkbookView name="countifs8" guid="{E1A67331-473F-4161-806C-BE35870C93B5}" maximized="1" xWindow="-8" yWindow="-8" windowWidth="1382" windowHeight="784" activeSheetId="31"/>
    <customWorkbookView name="countifs7" guid="{CC562453-1E6B-4010-9E1B-775397A26EFA}" maximized="1" xWindow="-8" yWindow="-8" windowWidth="1382" windowHeight="784" activeSheetId="31"/>
    <customWorkbookView name="countifs6" guid="{644A6A80-0D34-48F6-A071-17016DCD2D6E}" maximized="1" xWindow="-8" yWindow="-8" windowWidth="1382" windowHeight="784" activeSheetId="31"/>
    <customWorkbookView name="countifs5" guid="{C65059E8-30E8-488B-A0E9-1B7961920C81}" maximized="1" xWindow="-8" yWindow="-8" windowWidth="1382" windowHeight="784" activeSheetId="31"/>
    <customWorkbookView name="countifs4" guid="{95D39BA8-2B16-4954-ABAC-09AD33A86339}" maximized="1" xWindow="-8" yWindow="-8" windowWidth="1382" windowHeight="784" activeSheetId="31"/>
    <customWorkbookView name="countifs3" guid="{25A4A7C0-9593-456C-861C-76D101D3FE93}" maximized="1" xWindow="-8" yWindow="-8" windowWidth="1382" windowHeight="784" activeSheetId="31"/>
    <customWorkbookView name="countifs2" guid="{51BA8A3D-4711-49ED-89E2-EBC09DF2AEDC}" maximized="1" xWindow="-8" yWindow="-8" windowWidth="1382" windowHeight="784" activeSheetId="31"/>
    <customWorkbookView name="countifs1" guid="{629A478C-29B1-4F25-A016-63CE32A1627F}" maximized="1" xWindow="-8" yWindow="-8" windowWidth="1382" windowHeight="784" activeSheetId="31"/>
    <customWorkbookView name="averageifs8" guid="{F789A6E6-3D06-4D93-BF02-46FA1A2548B2}" maximized="1" xWindow="-8" yWindow="-8" windowWidth="1382" windowHeight="784" activeSheetId="32"/>
    <customWorkbookView name="averageifs7" guid="{15D7A002-B247-4A6B-A16B-61BDD9B0066A}" maximized="1" xWindow="-8" yWindow="-8" windowWidth="1382" windowHeight="784" activeSheetId="32"/>
    <customWorkbookView name="averageifs6" guid="{9AFCAA87-4888-4976-A7C9-C06A34CB6C97}" maximized="1" xWindow="-8" yWindow="-8" windowWidth="1382" windowHeight="784" activeSheetId="32"/>
    <customWorkbookView name="averageifs5" guid="{E4FF7DB9-14DF-49DB-9F59-1898DDED4DCE}" maximized="1" xWindow="-8" yWindow="-8" windowWidth="1382" windowHeight="784" activeSheetId="32"/>
    <customWorkbookView name="averageifs4" guid="{EC7537C6-1678-41C1-B788-EF4AFFECF769}" maximized="1" xWindow="-8" yWindow="-8" windowWidth="1382" windowHeight="784" activeSheetId="32"/>
    <customWorkbookView name="averageifs3" guid="{1920E7A3-1C9F-4320-81BB-D11544051025}" maximized="1" xWindow="-8" yWindow="-8" windowWidth="1382" windowHeight="784" activeSheetId="32"/>
    <customWorkbookView name="averageifs2" guid="{02D27969-4CD1-473E-A0E8-856AB0664DE8}" maximized="1" xWindow="-8" yWindow="-8" windowWidth="1382" windowHeight="784" activeSheetId="32"/>
    <customWorkbookView name="averageifs1" guid="{422703F6-63C4-435C-AFE7-1030286678F6}" maximized="1" xWindow="-8" yWindow="-8" windowWidth="1382" windowHeight="784" activeSheetId="32"/>
    <customWorkbookView name="sumifs8" guid="{F3CB97AD-592C-4B6E-8AE3-1CD47479060C}" maximized="1" xWindow="-8" yWindow="-8" windowWidth="1382" windowHeight="784" activeSheetId="25"/>
    <customWorkbookView name="sumifs7" guid="{19DA6E7F-8950-4769-9BBE-2798EFA465A3}" maximized="1" xWindow="-8" yWindow="-8" windowWidth="1382" windowHeight="784" activeSheetId="25"/>
    <customWorkbookView name="sumifs6" guid="{47C01131-7443-4080-A2BB-6B6AA35C6913}" maximized="1" xWindow="-8" yWindow="-8" windowWidth="1382" windowHeight="784" activeSheetId="25"/>
    <customWorkbookView name="sumifs5" guid="{C7330417-67A9-44CF-917F-5F5E2F191AD4}" maximized="1" xWindow="-8" yWindow="-8" windowWidth="1382" windowHeight="784" activeSheetId="25"/>
    <customWorkbookView name="sumifs4" guid="{EBA5E9C4-A2DB-4DF0-BF75-1243E968318E}" maximized="1" xWindow="-8" yWindow="-8" windowWidth="1382" windowHeight="784" activeSheetId="25"/>
    <customWorkbookView name="sumifs3" guid="{7A7FC9A5-F2B5-4894-82BC-4528575F10D4}" maximized="1" xWindow="-8" yWindow="-8" windowWidth="1382" windowHeight="784" activeSheetId="25"/>
    <customWorkbookView name="sumifs2" guid="{6194C141-D0A1-4D58-BA55-90A184525AC3}" maximized="1" xWindow="-8" yWindow="-8" windowWidth="1382" windowHeight="784" activeSheetId="25"/>
    <customWorkbookView name="sumifs1" guid="{A5292A6B-6F92-4AB3-B051-EF87F39FC489}" maximized="1" xWindow="-8" yWindow="-8" windowWidth="1382" windowHeight="784" activeSheetId="25"/>
    <customWorkbookView name="sumif1" guid="{C090DFAD-A23A-4678-87F2-095D84EBDDE8}" maximized="1" xWindow="-8" yWindow="-8" windowWidth="1382" windowHeight="744" activeSheetId="15"/>
    <customWorkbookView name="sumif2" guid="{4F11E31F-E14C-416D-BB97-C8CE74658FBE}" maximized="1" xWindow="-8" yWindow="-8" windowWidth="1382" windowHeight="744" activeSheetId="15"/>
    <customWorkbookView name="sumif3" guid="{F2A17A28-A3DF-492D-BAE9-AAEF2A13397B}" maximized="1" xWindow="-8" yWindow="-8" windowWidth="1382" windowHeight="744" activeSheetId="15"/>
    <customWorkbookView name="sumif4" guid="{8F332A92-7271-4FEC-B085-C15AA232FE21}" maximized="1" xWindow="-8" yWindow="-8" windowWidth="1382" windowHeight="744" activeSheetId="15"/>
    <customWorkbookView name="sumif5" guid="{6B1EB7F4-EF59-450E-A531-475C3A6E6150}" maximized="1" xWindow="-8" yWindow="-8" windowWidth="1382" windowHeight="744" activeSheetId="15"/>
    <customWorkbookView name="sumif6" guid="{8EBF087E-11C5-42EE-B564-FAEE72C86C17}" maximized="1" xWindow="-8" yWindow="-8" windowWidth="1382" windowHeight="744" activeSheetId="15"/>
    <customWorkbookView name="averageif1" guid="{F716839F-5448-40FC-95BC-286199FD6764}" maximized="1" xWindow="-8" yWindow="-8" windowWidth="1382" windowHeight="744" activeSheetId="23"/>
    <customWorkbookView name="averageif2" guid="{E712F22D-DF79-4936-B86B-186E637372BF}" maximized="1" xWindow="-8" yWindow="-8" windowWidth="1382" windowHeight="744" activeSheetId="23"/>
    <customWorkbookView name="averageif3" guid="{672B3D91-11D6-418C-A856-9FF74CE5E6FB}" maximized="1" xWindow="-8" yWindow="-8" windowWidth="1382" windowHeight="744" activeSheetId="23"/>
    <customWorkbookView name="averageif4" guid="{5B4753E1-B7DC-40C2-A28F-B07A6CB075FE}" maximized="1" xWindow="-8" yWindow="-8" windowWidth="1382" windowHeight="744" activeSheetId="23"/>
    <customWorkbookView name="averageif5" guid="{EF2006E2-DE9B-4938-AD6F-8255BE7D529F}" maximized="1" xWindow="-8" yWindow="-8" windowWidth="1382" windowHeight="744" activeSheetId="23"/>
    <customWorkbookView name="averageif6" guid="{0BFB30CE-F6D9-44B3-99BA-62858BF46600}" maximized="1" xWindow="-8" yWindow="-8" windowWidth="1382" windowHeight="744" activeSheetId="23"/>
    <customWorkbookView name="countif1" guid="{E3977DAC-58A9-43A5-A2CD-037AE84A3934}" maximized="1" xWindow="-8" yWindow="-8" windowWidth="1382" windowHeight="744" activeSheetId="24"/>
    <customWorkbookView name="countif2" guid="{E18774DE-EF27-4708-91D7-FE2A7EE4C992}" maximized="1" xWindow="-8" yWindow="-8" windowWidth="1382" windowHeight="744" activeSheetId="24"/>
    <customWorkbookView name="countif3" guid="{F102CDDA-1DB7-4BD5-8A8F-CD5640485596}" maximized="1" xWindow="-8" yWindow="-8" windowWidth="1382" windowHeight="744" activeSheetId="24"/>
    <customWorkbookView name="countif4" guid="{A3C7F73E-8288-4122-801A-9A426BB0DFB8}" maximized="1" xWindow="-8" yWindow="-8" windowWidth="1382" windowHeight="744" activeSheetId="24"/>
    <customWorkbookView name="countif5" guid="{C1FEC2CE-0AE0-4F12-8438-BD3D230D3830}" maximized="1" xWindow="-8" yWindow="-8" windowWidth="1382" windowHeight="744" activeSheetId="24"/>
    <customWorkbookView name="countif6" guid="{576A445C-3D9A-438D-AC68-B679E3D65634}" maximized="1" xWindow="-8" yWindow="-8" windowWidth="1382" windowHeight="744" activeSheetId="2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54" l="1" a="1"/>
  <c r="C52" i="54" s="1"/>
  <c r="D2" i="51"/>
  <c r="D3" i="51"/>
  <c r="D4" i="51"/>
  <c r="D5" i="51"/>
  <c r="D6" i="51"/>
  <c r="D7" i="51"/>
  <c r="D8" i="51"/>
  <c r="D9" i="51"/>
  <c r="G6" i="47"/>
  <c r="G7" i="47"/>
  <c r="G8" i="47"/>
  <c r="G9" i="47"/>
  <c r="G10" i="47"/>
  <c r="G11" i="47"/>
  <c r="G12" i="47"/>
  <c r="G13" i="47"/>
  <c r="G5" i="47"/>
  <c r="I14" i="4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<sst xmlns="http://schemas.openxmlformats.org/spreadsheetml/2006/main" count="11718" uniqueCount="3264">
  <si>
    <t>Shirt</t>
  </si>
  <si>
    <t>Pants</t>
  </si>
  <si>
    <t>S</t>
  </si>
  <si>
    <t>M</t>
  </si>
  <si>
    <t>L</t>
  </si>
  <si>
    <t>Dress Size</t>
  </si>
  <si>
    <t>Dress Type</t>
  </si>
  <si>
    <t>Brand</t>
  </si>
  <si>
    <t>Louis Vuitton</t>
  </si>
  <si>
    <t>Chanel</t>
  </si>
  <si>
    <t>H&amp;M</t>
  </si>
  <si>
    <t>Burberry</t>
  </si>
  <si>
    <t>Ralph Lauren</t>
  </si>
  <si>
    <t>Omega</t>
  </si>
  <si>
    <t>Levi's</t>
  </si>
  <si>
    <t>Michael Kors</t>
  </si>
  <si>
    <t>Under Armour</t>
  </si>
  <si>
    <t>Extracted Brand Name</t>
  </si>
  <si>
    <t>Attach all three Dress Type, Size and Brand into one sentence with an " - " in between</t>
  </si>
  <si>
    <t>MICHAEL KORS</t>
  </si>
  <si>
    <t>UNDER ARMOUR</t>
  </si>
  <si>
    <t>OMEGA</t>
  </si>
  <si>
    <t>LEVI'S</t>
  </si>
  <si>
    <t>RALPH LAUREN</t>
  </si>
  <si>
    <t>Make the Brand grammatically correct</t>
  </si>
  <si>
    <t>CHANEL</t>
  </si>
  <si>
    <t>BURBERRY</t>
  </si>
  <si>
    <t>LOUIS VUITTON</t>
  </si>
  <si>
    <t>De-Capitalise the brand name in full</t>
  </si>
  <si>
    <t>Capitalise the brand name in full</t>
  </si>
  <si>
    <t>Extract the First 3 Digits of the Brand Names</t>
  </si>
  <si>
    <t>Task</t>
  </si>
  <si>
    <t>His Shirt size is S of Louis Vuitton</t>
  </si>
  <si>
    <t>His Pants size is S of Burberry</t>
  </si>
  <si>
    <t>His Pants size is M of H&amp;M</t>
  </si>
  <si>
    <t>His Shirt size is L of Ralph Lauren</t>
  </si>
  <si>
    <t>Name</t>
  </si>
  <si>
    <t>Siddhartha</t>
  </si>
  <si>
    <t>Sajita</t>
  </si>
  <si>
    <t>Vivek</t>
  </si>
  <si>
    <t>Jeet</t>
  </si>
  <si>
    <t>Praveen</t>
  </si>
  <si>
    <t>His Shirt size is M of Chanel</t>
  </si>
  <si>
    <t>Final Version of the Task Description</t>
  </si>
  <si>
    <t>Bought On</t>
  </si>
  <si>
    <t>Today</t>
  </si>
  <si>
    <t>How Many Days it has been</t>
  </si>
  <si>
    <t>Find the Length of the Brand Characters</t>
  </si>
  <si>
    <t>LOUIS    VUITTON</t>
  </si>
  <si>
    <t xml:space="preserve">    BURBERRY</t>
  </si>
  <si>
    <t xml:space="preserve">CHANEL     </t>
  </si>
  <si>
    <t xml:space="preserve">    H&amp;M</t>
  </si>
  <si>
    <t>RALPH    LAUREN</t>
  </si>
  <si>
    <t xml:space="preserve">OMEGA   </t>
  </si>
  <si>
    <t>UNDER     ARMOUR</t>
  </si>
  <si>
    <t xml:space="preserve">     MICHAEL KORS</t>
  </si>
  <si>
    <t>Remove the Additional Spaces from the Brand Name</t>
  </si>
  <si>
    <t>LV-Louis Vuitton</t>
  </si>
  <si>
    <t>BP-Burberry</t>
  </si>
  <si>
    <t>CN-Chanel</t>
  </si>
  <si>
    <t>HM-H&amp;M</t>
  </si>
  <si>
    <t>RL-Ralph Lauren</t>
  </si>
  <si>
    <t>LV-Levi's</t>
  </si>
  <si>
    <t>OM-Omega</t>
  </si>
  <si>
    <t>UA-Under Armour</t>
  </si>
  <si>
    <t>MK-Michael Kors</t>
  </si>
  <si>
    <t>Unique Code</t>
  </si>
  <si>
    <t>Attach all three Dress Type, Size and Brand into a code to be printed</t>
  </si>
  <si>
    <t>ID</t>
  </si>
  <si>
    <t>Email</t>
  </si>
  <si>
    <t>john.doe@gmail.com</t>
  </si>
  <si>
    <t>alice.smith@yahoo.com</t>
  </si>
  <si>
    <t>david.kumar@outlook.com</t>
  </si>
  <si>
    <t>priya.nair@company.in</t>
  </si>
  <si>
    <t>arjun.menon@gmail.com</t>
  </si>
  <si>
    <t>meena.krishnan@startup.io</t>
  </si>
  <si>
    <t>rohit.sharma@business.co</t>
  </si>
  <si>
    <t>kavya.reddy@techlabs.ai</t>
  </si>
  <si>
    <t>vikram.singh@analytics.org</t>
  </si>
  <si>
    <t>anita.verma@consulting.net</t>
  </si>
  <si>
    <t>Domain</t>
  </si>
  <si>
    <t>change . With _</t>
  </si>
  <si>
    <t>Employee_ID</t>
  </si>
  <si>
    <t>Replace Year with 2025</t>
  </si>
  <si>
    <t>EMP-2024-1001</t>
  </si>
  <si>
    <t>EMP-2024-1002</t>
  </si>
  <si>
    <t>EMP-2024-1003</t>
  </si>
  <si>
    <t>EMP-2024-1004</t>
  </si>
  <si>
    <t>EMP-2024-1005</t>
  </si>
  <si>
    <t>EMP-2024-1006</t>
  </si>
  <si>
    <t>EMP-2024-1007</t>
  </si>
  <si>
    <t>EMP-2024-1008</t>
  </si>
  <si>
    <t>EMP-2024-1009</t>
  </si>
  <si>
    <t>EMP-2024-1010</t>
  </si>
  <si>
    <t>Raw_Value</t>
  </si>
  <si>
    <t>Result (Text Output)</t>
  </si>
  <si>
    <t>Date</t>
  </si>
  <si>
    <t>Currency</t>
  </si>
  <si>
    <t>Percentage</t>
  </si>
  <si>
    <t>Rounded Number</t>
  </si>
  <si>
    <t>Comma Format</t>
  </si>
  <si>
    <t>Unit Format</t>
  </si>
  <si>
    <t>Leading Zeros</t>
  </si>
  <si>
    <t>01-Nov-2023</t>
  </si>
  <si>
    <t>Extract to</t>
  </si>
  <si>
    <t>Year Only</t>
  </si>
  <si>
    <t>Month Only in 3 characters</t>
  </si>
  <si>
    <t>Month only in full characters</t>
  </si>
  <si>
    <t>Day in Numericals</t>
  </si>
  <si>
    <t>Day in 3 character name</t>
  </si>
  <si>
    <t>Day in Full name</t>
  </si>
  <si>
    <t>Month Only in Numericals</t>
  </si>
  <si>
    <t>Nov</t>
  </si>
  <si>
    <t>November</t>
  </si>
  <si>
    <t>Mon</t>
  </si>
  <si>
    <t>Expected Output Format</t>
  </si>
  <si>
    <t>Monday</t>
  </si>
  <si>
    <t>Hindi Text</t>
  </si>
  <si>
    <t>Formula</t>
  </si>
  <si>
    <t>English Translation</t>
  </si>
  <si>
    <t>नमस्ते</t>
  </si>
  <si>
    <t>धन्यवाद</t>
  </si>
  <si>
    <t>सुप्रभात</t>
  </si>
  <si>
    <t>शुभ रात्रि</t>
  </si>
  <si>
    <t>आपका स्वागत है</t>
  </si>
  <si>
    <t>कृपया बैठिए</t>
  </si>
  <si>
    <t>आप कैसे हैं</t>
  </si>
  <si>
    <t>मुझे समझ नहीं आया</t>
  </si>
  <si>
    <t>फिर मिलेंगे</t>
  </si>
  <si>
    <t>शुभकामनाएं</t>
  </si>
  <si>
    <t>Tamil Text</t>
  </si>
  <si>
    <t>வணக்கம்</t>
  </si>
  <si>
    <t>நன்றி</t>
  </si>
  <si>
    <t>காலை வணக்கம்</t>
  </si>
  <si>
    <t>இனிய இரவு</t>
  </si>
  <si>
    <t>வரவேற்கிறோம்</t>
  </si>
  <si>
    <t>உட்காருங்கள்</t>
  </si>
  <si>
    <t>நீங்கள் எப்படி இருக்கிறீர்கள்</t>
  </si>
  <si>
    <t>எனக்கு புரியவில்லை</t>
  </si>
  <si>
    <t>மீண்டும் சந்திப்போம்</t>
  </si>
  <si>
    <t>வாழ்த்துக்கள்</t>
  </si>
  <si>
    <t>Text</t>
  </si>
  <si>
    <t>@</t>
  </si>
  <si>
    <t>invoice_2024_final</t>
  </si>
  <si>
    <t>_</t>
  </si>
  <si>
    <t>-</t>
  </si>
  <si>
    <t>product#Laptop</t>
  </si>
  <si>
    <t>#</t>
  </si>
  <si>
    <t>city-Chennai</t>
  </si>
  <si>
    <t>region:South</t>
  </si>
  <si>
    <t>:</t>
  </si>
  <si>
    <t>file-report.pdf</t>
  </si>
  <si>
    <t>user_admin_login</t>
  </si>
  <si>
    <t>Find_what</t>
  </si>
  <si>
    <t>Cleaned Result</t>
  </si>
  <si>
    <t>Customer
Name</t>
  </si>
  <si>
    <t>Order
Completed</t>
  </si>
  <si>
    <t>Product
Available</t>
  </si>
  <si>
    <t>Invoice
Generated</t>
  </si>
  <si>
    <t>No of Characters</t>
  </si>
  <si>
    <t>Cleaned Brand Name</t>
  </si>
  <si>
    <t>Payment
Received</t>
  </si>
  <si>
    <t>Delivery
Scheduled</t>
  </si>
  <si>
    <t xml:space="preserve">Raw Text </t>
  </si>
  <si>
    <t>Remove the Additional Lines from the Brand Name</t>
  </si>
  <si>
    <t>FIND Character Position</t>
  </si>
  <si>
    <t>Address</t>
  </si>
  <si>
    <t>Chennai,Tamil Nadu,India</t>
  </si>
  <si>
    <t>Mumbai,Maharashtra,India</t>
  </si>
  <si>
    <t>Delhi,Delhi,India</t>
  </si>
  <si>
    <t>Bengaluru,Karnataka,India</t>
  </si>
  <si>
    <t>Hyderabad,Telangana,India</t>
  </si>
  <si>
    <t>Kochi,Kerala,India</t>
  </si>
  <si>
    <t>Pune,Maharashtra,India</t>
  </si>
  <si>
    <t>Jaipur,Rajasthan,India</t>
  </si>
  <si>
    <t>Kolkata,West Bengal,India</t>
  </si>
  <si>
    <t>Ahmedabad,Gujarat,India</t>
  </si>
  <si>
    <t>City</t>
  </si>
  <si>
    <t>State</t>
  </si>
  <si>
    <t>Country</t>
  </si>
  <si>
    <t>Chennai,Tamil Nadu;India</t>
  </si>
  <si>
    <t>Delhi,Delhi;India</t>
  </si>
  <si>
    <t>Hyderabad-Telangana,India</t>
  </si>
  <si>
    <t>Kochi,Kerala;India</t>
  </si>
  <si>
    <t>Jaipur,Rajasthan-India</t>
  </si>
  <si>
    <t>Kolkata-West Bengal,India</t>
  </si>
  <si>
    <t>Chennai,,Tamil Nadu;India</t>
  </si>
  <si>
    <t>Delhi,Delhi,;India</t>
  </si>
  <si>
    <t>Bengaluru,Karnataka,,India</t>
  </si>
  <si>
    <t>Kochi,Kerala;;India</t>
  </si>
  <si>
    <t>Jaipur,Rajasthan- -India</t>
  </si>
  <si>
    <t>Sales_Data</t>
  </si>
  <si>
    <t>Laptop,800;Mouse,25;Keyboard,40</t>
  </si>
  <si>
    <t>Apple,50;Banana,70;Mango,90</t>
  </si>
  <si>
    <t>Pizza,300;Burger,250;Pasta,200</t>
  </si>
  <si>
    <t>HR,12;Finance,15;IT,20</t>
  </si>
  <si>
    <t>Chennai,500;Mumbai,700;Delhi,600</t>
  </si>
  <si>
    <t>Shirt,1200;Pants,1500;Jacket,2200</t>
  </si>
  <si>
    <t>Excel,90;SQL,85;Power BI,95</t>
  </si>
  <si>
    <t>Samsung,1200;Apple,2000;Sony,1500</t>
  </si>
  <si>
    <t>Red,15;Blue,20;Green,18</t>
  </si>
  <si>
    <t>Gold,5000;Silver,3000;Bronze,1500</t>
  </si>
  <si>
    <t>Extract the Last 3 characters of the Brand Names</t>
  </si>
  <si>
    <t>Extract 3 characters of the Brand Names after the 3rd Character of its name</t>
  </si>
  <si>
    <t>Ticket_ID</t>
  </si>
  <si>
    <t>Timestamp</t>
  </si>
  <si>
    <t>Customer_Name_Raw</t>
  </si>
  <si>
    <t>Customer_Email</t>
  </si>
  <si>
    <t>Issue_Description</t>
  </si>
  <si>
    <t>Support_Channel</t>
  </si>
  <si>
    <t>Ticket_Status</t>
  </si>
  <si>
    <t>Product_Name</t>
  </si>
  <si>
    <t>Agent_Notes</t>
  </si>
  <si>
    <t>Order_Code</t>
  </si>
  <si>
    <t>Feedback_Text</t>
  </si>
  <si>
    <t>TKT0001</t>
  </si>
  <si>
    <t>arun kumar</t>
  </si>
  <si>
    <t>arun.kumar@example.com</t>
  </si>
  <si>
    <t>arun kumar | wireless mouse issue in Delhi | order#28289</t>
  </si>
  <si>
    <t>Call</t>
  </si>
  <si>
    <t>Resolved</t>
  </si>
  <si>
    <t>follow up required for wireless mouse</t>
  </si>
  <si>
    <t>ORD-9935-A</t>
  </si>
  <si>
    <t>not satisfied</t>
  </si>
  <si>
    <t>TKT0002</t>
  </si>
  <si>
    <t>arun kumar | wireless mouse issue in Chennai | order#76237</t>
  </si>
  <si>
    <t>ORD-4257-C</t>
  </si>
  <si>
    <t>TKT0003</t>
  </si>
  <si>
    <t>priya sharma</t>
  </si>
  <si>
    <t>priya.sharma@example.com</t>
  </si>
  <si>
    <t>priya sharma | laptop stand issue in Hyderabad | order#30926</t>
  </si>
  <si>
    <t>Pending</t>
  </si>
  <si>
    <t>follow up required for laptop stand</t>
  </si>
  <si>
    <t>ORD-6574-B</t>
  </si>
  <si>
    <t>very slow response</t>
  </si>
  <si>
    <t>TKT0004</t>
  </si>
  <si>
    <t>priya sharma | bluetooth speaker issue in Chennai | order#22676</t>
  </si>
  <si>
    <t>Chat</t>
  </si>
  <si>
    <t>follow up required for bluetooth speaker</t>
  </si>
  <si>
    <t>ORD-5333-A</t>
  </si>
  <si>
    <t>TKT0005</t>
  </si>
  <si>
    <t>rahul verma</t>
  </si>
  <si>
    <t>rahul.verma@example.com</t>
  </si>
  <si>
    <t>rahul verma | wireless mouse issue in Bangalore | order#48427</t>
  </si>
  <si>
    <t>Escalated</t>
  </si>
  <si>
    <t>ORD-6925-C</t>
  </si>
  <si>
    <t>TKT0006</t>
  </si>
  <si>
    <t>arun kumar | wireless mouse issue in Mumbai | order#40512</t>
  </si>
  <si>
    <t>ORD-5554-B</t>
  </si>
  <si>
    <t>excellent support</t>
  </si>
  <si>
    <t>TKT0007</t>
  </si>
  <si>
    <t>priya sharma | bluetooth speaker issue in Delhi | order#99593</t>
  </si>
  <si>
    <t>ORD-3803-C</t>
  </si>
  <si>
    <t>TKT0008</t>
  </si>
  <si>
    <t>priya sharma | laptop stand issue in Bangalore | order#83000</t>
  </si>
  <si>
    <t>ORD-6313-A</t>
  </si>
  <si>
    <t>TKT0009</t>
  </si>
  <si>
    <t>arun kumar | bluetooth speaker issue in Bangalore | order#37653</t>
  </si>
  <si>
    <t>ORD-6155-A</t>
  </si>
  <si>
    <t>TKT0010</t>
  </si>
  <si>
    <t>meena iyer</t>
  </si>
  <si>
    <t>meena.iyer@example.com</t>
  </si>
  <si>
    <t>meena iyer | laptop stand issue in Mumbai | order#42325</t>
  </si>
  <si>
    <t>ORD-9830-B</t>
  </si>
  <si>
    <t>TKT0011</t>
  </si>
  <si>
    <t>rahul verma | laptop stand issue in Delhi | order#76784</t>
  </si>
  <si>
    <t>ORD-1771-A</t>
  </si>
  <si>
    <t>TKT0012</t>
  </si>
  <si>
    <t>priya sharma | laptop stand issue in Hyderabad | order#60019</t>
  </si>
  <si>
    <t>ORD-9669-B</t>
  </si>
  <si>
    <t>good service</t>
  </si>
  <si>
    <t>TKT0013</t>
  </si>
  <si>
    <t>arun kumar | usb hub issue in Delhi | order#48469</t>
  </si>
  <si>
    <t>follow up required for usb hub</t>
  </si>
  <si>
    <t>ORD-8433-A</t>
  </si>
  <si>
    <t>TKT0014</t>
  </si>
  <si>
    <t>rahul verma | gaming keyboard issue in Hyderabad | order#49117</t>
  </si>
  <si>
    <t>follow up required for gaming keyboard</t>
  </si>
  <si>
    <t>ORD-4258-A</t>
  </si>
  <si>
    <t>TKT0015</t>
  </si>
  <si>
    <t>priya sharma | usb hub issue in Hyderabad | order#52487</t>
  </si>
  <si>
    <t>ORD-2832-B</t>
  </si>
  <si>
    <t>TKT0016</t>
  </si>
  <si>
    <t>priya sharma | wireless mouse issue in Mumbai | order#73699</t>
  </si>
  <si>
    <t>ORD-3060-A</t>
  </si>
  <si>
    <t>TKT0017</t>
  </si>
  <si>
    <t>rahul verma | gaming keyboard issue in Delhi | order#65461</t>
  </si>
  <si>
    <t>ORD-4295-C</t>
  </si>
  <si>
    <t>TKT0018</t>
  </si>
  <si>
    <t>meena iyer | bluetooth speaker issue in Bangalore | order#25860</t>
  </si>
  <si>
    <t>ORD-2049-B</t>
  </si>
  <si>
    <t>TKT0019</t>
  </si>
  <si>
    <t>rahul verma | usb hub issue in Mumbai | order#19305</t>
  </si>
  <si>
    <t>ORD-1964-A</t>
  </si>
  <si>
    <t>TKT0020</t>
  </si>
  <si>
    <t>arun kumar | bluetooth speaker issue in Chennai | order#46500</t>
  </si>
  <si>
    <t>ORD-4510-C</t>
  </si>
  <si>
    <t>TKT0021</t>
  </si>
  <si>
    <t>rahul verma | usb hub issue in Bangalore | order#63354</t>
  </si>
  <si>
    <t>ORD-2588-C</t>
  </si>
  <si>
    <t>TKT0022</t>
  </si>
  <si>
    <t>john doe</t>
  </si>
  <si>
    <t>john.doe@example.com</t>
  </si>
  <si>
    <t>john doe | laptop stand issue in Bangalore | order#98259</t>
  </si>
  <si>
    <t>ORD-2612-A</t>
  </si>
  <si>
    <t>TKT0023</t>
  </si>
  <si>
    <t>john doe | wireless mouse issue in Mumbai | order#80292</t>
  </si>
  <si>
    <t>ORD-7912-A</t>
  </si>
  <si>
    <t>TKT0024</t>
  </si>
  <si>
    <t>meena iyer | gaming keyboard issue in Chennai | order#22833</t>
  </si>
  <si>
    <t>ORD-9856-A</t>
  </si>
  <si>
    <t>TKT0025</t>
  </si>
  <si>
    <t>priya sharma | gaming keyboard issue in Bangalore | order#38016</t>
  </si>
  <si>
    <t>ORD-3697-B</t>
  </si>
  <si>
    <t>TKT0026</t>
  </si>
  <si>
    <t>meena iyer | bluetooth speaker issue in Bangalore | order#82845</t>
  </si>
  <si>
    <t>ORD-8973-A</t>
  </si>
  <si>
    <t>TKT0027</t>
  </si>
  <si>
    <t>john doe | gaming keyboard issue in Chennai | order#17492</t>
  </si>
  <si>
    <t>ORD-8811-C</t>
  </si>
  <si>
    <t>TKT0028</t>
  </si>
  <si>
    <t>arun kumar | usb hub issue in Chennai | order#87992</t>
  </si>
  <si>
    <t>ORD-4853-B</t>
  </si>
  <si>
    <t>TKT0029</t>
  </si>
  <si>
    <t>rahul verma | gaming keyboard issue in Hyderabad | order#20745</t>
  </si>
  <si>
    <t>ORD-9565-B</t>
  </si>
  <si>
    <t>TKT0030</t>
  </si>
  <si>
    <t>priya sharma | bluetooth speaker issue in Mumbai | order#27154</t>
  </si>
  <si>
    <t>ORD-5915-B</t>
  </si>
  <si>
    <t>TKT0031</t>
  </si>
  <si>
    <t>arun kumar | wireless mouse issue in Bangalore | order#80468</t>
  </si>
  <si>
    <t>ORD-5345-A</t>
  </si>
  <si>
    <t>TKT0032</t>
  </si>
  <si>
    <t>arun kumar | gaming keyboard issue in Delhi | order#67433</t>
  </si>
  <si>
    <t>ORD-5956-C</t>
  </si>
  <si>
    <t>TKT0033</t>
  </si>
  <si>
    <t>rahul verma | bluetooth speaker issue in Chennai | order#25129</t>
  </si>
  <si>
    <t>ORD-3546-B</t>
  </si>
  <si>
    <t>TKT0034</t>
  </si>
  <si>
    <t>rahul verma | gaming keyboard issue in Delhi | order#44600</t>
  </si>
  <si>
    <t>ORD-5114-A</t>
  </si>
  <si>
    <t>TKT0035</t>
  </si>
  <si>
    <t>meena iyer | bluetooth speaker issue in Chennai | order#27146</t>
  </si>
  <si>
    <t>ORD-3647-C</t>
  </si>
  <si>
    <t>TKT0036</t>
  </si>
  <si>
    <t>rahul verma | laptop stand issue in Hyderabad | order#19862</t>
  </si>
  <si>
    <t>ORD-9938-A</t>
  </si>
  <si>
    <t>TKT0037</t>
  </si>
  <si>
    <t>rahul verma | usb hub issue in Mumbai | order#15482</t>
  </si>
  <si>
    <t>ORD-1653-B</t>
  </si>
  <si>
    <t>TKT0038</t>
  </si>
  <si>
    <t>priya sharma | wireless mouse issue in Delhi | order#30257</t>
  </si>
  <si>
    <t>ORD-3900-B</t>
  </si>
  <si>
    <t>TKT0039</t>
  </si>
  <si>
    <t>priya sharma | bluetooth speaker issue in Bangalore | order#30866</t>
  </si>
  <si>
    <t>ORD-7267-A</t>
  </si>
  <si>
    <t>TKT0040</t>
  </si>
  <si>
    <t>priya sharma | gaming keyboard issue in Bangalore | order#39831</t>
  </si>
  <si>
    <t>ORD-4164-B</t>
  </si>
  <si>
    <t>TKT0041</t>
  </si>
  <si>
    <t>john doe | wireless mouse issue in Delhi | order#76768</t>
  </si>
  <si>
    <t>ORD-9785-B</t>
  </si>
  <si>
    <t>TKT0042</t>
  </si>
  <si>
    <t>arun kumar | bluetooth speaker issue in Mumbai | order#24208</t>
  </si>
  <si>
    <t>ORD-6663-C</t>
  </si>
  <si>
    <t>TKT0043</t>
  </si>
  <si>
    <t>meena iyer | usb hub issue in Hyderabad | order#85574</t>
  </si>
  <si>
    <t>ORD-1727-C</t>
  </si>
  <si>
    <t>TKT0044</t>
  </si>
  <si>
    <t>arun kumar | usb hub issue in Hyderabad | order#66531</t>
  </si>
  <si>
    <t>ORD-6409-C</t>
  </si>
  <si>
    <t>TKT0045</t>
  </si>
  <si>
    <t>arun kumar | bluetooth speaker issue in Hyderabad | order#52753</t>
  </si>
  <si>
    <t>ORD-5844-C</t>
  </si>
  <si>
    <t>TKT0046</t>
  </si>
  <si>
    <t>priya sharma | laptop stand issue in Bangalore | order#84593</t>
  </si>
  <si>
    <t>ORD-9977-A</t>
  </si>
  <si>
    <t>TKT0047</t>
  </si>
  <si>
    <t>john doe | gaming keyboard issue in Bangalore | order#67905</t>
  </si>
  <si>
    <t>ORD-4501-C</t>
  </si>
  <si>
    <t>TKT0048</t>
  </si>
  <si>
    <t>priya sharma | wireless mouse issue in Delhi | order#91167</t>
  </si>
  <si>
    <t>ORD-4848-C</t>
  </si>
  <si>
    <t>TKT0049</t>
  </si>
  <si>
    <t>priya sharma | gaming keyboard issue in Mumbai | order#42092</t>
  </si>
  <si>
    <t>ORD-2193-B</t>
  </si>
  <si>
    <t>TKT0050</t>
  </si>
  <si>
    <t>rahul verma | gaming keyboard issue in Bangalore | order#41979</t>
  </si>
  <si>
    <t>ORD-1090-A</t>
  </si>
  <si>
    <t>TKT0051</t>
  </si>
  <si>
    <t>priya sharma | gaming keyboard issue in Hyderabad | order#83060</t>
  </si>
  <si>
    <t>ORD-8478-A</t>
  </si>
  <si>
    <t>TKT0052</t>
  </si>
  <si>
    <t>rahul verma | usb hub issue in Hyderabad | order#90301</t>
  </si>
  <si>
    <t>ORD-7991-C</t>
  </si>
  <si>
    <t>TKT0053</t>
  </si>
  <si>
    <t>priya sharma | laptop stand issue in Bangalore | order#93579</t>
  </si>
  <si>
    <t>ORD-8939-C</t>
  </si>
  <si>
    <t>TKT0054</t>
  </si>
  <si>
    <t>john doe | laptop stand issue in Chennai | order#45614</t>
  </si>
  <si>
    <t>ORD-9849-A</t>
  </si>
  <si>
    <t>TKT0055</t>
  </si>
  <si>
    <t>priya sharma | gaming keyboard issue in Bangalore | order#18418</t>
  </si>
  <si>
    <t>ORD-6421-C</t>
  </si>
  <si>
    <t>TKT0056</t>
  </si>
  <si>
    <t>meena iyer | wireless mouse issue in Mumbai | order#86556</t>
  </si>
  <si>
    <t>ORD-7232-B</t>
  </si>
  <si>
    <t>TKT0057</t>
  </si>
  <si>
    <t>john doe | bluetooth speaker issue in Bangalore | order#81582</t>
  </si>
  <si>
    <t>ORD-8999-A</t>
  </si>
  <si>
    <t>TKT0058</t>
  </si>
  <si>
    <t>meena iyer | laptop stand issue in Chennai | order#97670</t>
  </si>
  <si>
    <t>ORD-3704-B</t>
  </si>
  <si>
    <t>TKT0059</t>
  </si>
  <si>
    <t>rahul verma | usb hub issue in Chennai | order#83975</t>
  </si>
  <si>
    <t>ORD-2375-C</t>
  </si>
  <si>
    <t>TKT0060</t>
  </si>
  <si>
    <t>priya sharma | laptop stand issue in Mumbai | order#59689</t>
  </si>
  <si>
    <t>ORD-8449-B</t>
  </si>
  <si>
    <t>TKT0061</t>
  </si>
  <si>
    <t>meena iyer | bluetooth speaker issue in Bangalore | order#71644</t>
  </si>
  <si>
    <t>ORD-9837-A</t>
  </si>
  <si>
    <t>TKT0062</t>
  </si>
  <si>
    <t>priya sharma | wireless mouse issue in Chennai | order#36130</t>
  </si>
  <si>
    <t>ORD-3496-A</t>
  </si>
  <si>
    <t>TKT0063</t>
  </si>
  <si>
    <t>meena iyer | wireless mouse issue in Hyderabad | order#43586</t>
  </si>
  <si>
    <t>ORD-2876-A</t>
  </si>
  <si>
    <t>TKT0064</t>
  </si>
  <si>
    <t>arun kumar | usb hub issue in Chennai | order#98781</t>
  </si>
  <si>
    <t>ORD-4249-A</t>
  </si>
  <si>
    <t>TKT0065</t>
  </si>
  <si>
    <t>arun kumar | bluetooth speaker issue in Hyderabad | order#15383</t>
  </si>
  <si>
    <t>ORD-8018-C</t>
  </si>
  <si>
    <t>TKT0066</t>
  </si>
  <si>
    <t>arun kumar | usb hub issue in Delhi | order#74251</t>
  </si>
  <si>
    <t>ORD-6934-C</t>
  </si>
  <si>
    <t>TKT0067</t>
  </si>
  <si>
    <t>priya sharma | laptop stand issue in Mumbai | order#45400</t>
  </si>
  <si>
    <t>ORD-8921-B</t>
  </si>
  <si>
    <t>TKT0068</t>
  </si>
  <si>
    <t>rahul verma | bluetooth speaker issue in Delhi | order#46559</t>
  </si>
  <si>
    <t>ORD-8613-C</t>
  </si>
  <si>
    <t>TKT0069</t>
  </si>
  <si>
    <t>john doe | wireless mouse issue in Bangalore | order#73904</t>
  </si>
  <si>
    <t>ORD-5232-B</t>
  </si>
  <si>
    <t>TKT0070</t>
  </si>
  <si>
    <t>rahul verma | bluetooth speaker issue in Hyderabad | order#35042</t>
  </si>
  <si>
    <t>ORD-7658-B</t>
  </si>
  <si>
    <t>TKT0071</t>
  </si>
  <si>
    <t>meena iyer | laptop stand issue in Bangalore | order#48566</t>
  </si>
  <si>
    <t>ORD-4986-B</t>
  </si>
  <si>
    <t>TKT0072</t>
  </si>
  <si>
    <t>meena iyer | usb hub issue in Hyderabad | order#82140</t>
  </si>
  <si>
    <t>ORD-8434-B</t>
  </si>
  <si>
    <t>TKT0073</t>
  </si>
  <si>
    <t>john doe | gaming keyboard issue in Chennai | order#25670</t>
  </si>
  <si>
    <t>ORD-4033-A</t>
  </si>
  <si>
    <t>TKT0074</t>
  </si>
  <si>
    <t>meena iyer | bluetooth speaker issue in Hyderabad | order#47093</t>
  </si>
  <si>
    <t>ORD-5853-A</t>
  </si>
  <si>
    <t>TKT0075</t>
  </si>
  <si>
    <t>priya sharma | bluetooth speaker issue in Chennai | order#45954</t>
  </si>
  <si>
    <t>ORD-5786-C</t>
  </si>
  <si>
    <t>TKT0076</t>
  </si>
  <si>
    <t>meena iyer | wireless mouse issue in Chennai | order#72746</t>
  </si>
  <si>
    <t>ORD-4020-A</t>
  </si>
  <si>
    <t>TKT0077</t>
  </si>
  <si>
    <t>meena iyer | wireless mouse issue in Chennai | order#19710</t>
  </si>
  <si>
    <t>ORD-1878-A</t>
  </si>
  <si>
    <t>TKT0078</t>
  </si>
  <si>
    <t>rahul verma | bluetooth speaker issue in Chennai | order#83147</t>
  </si>
  <si>
    <t>ORD-4697-C</t>
  </si>
  <si>
    <t>TKT0079</t>
  </si>
  <si>
    <t>meena iyer | laptop stand issue in Delhi | order#84531</t>
  </si>
  <si>
    <t>ORD-2625-A</t>
  </si>
  <si>
    <t>TKT0080</t>
  </si>
  <si>
    <t>john doe | wireless mouse issue in Mumbai | order#82350</t>
  </si>
  <si>
    <t>ORD-1043-B</t>
  </si>
  <si>
    <t>TKT0081</t>
  </si>
  <si>
    <t>rahul verma | laptop stand issue in Delhi | order#47762</t>
  </si>
  <si>
    <t>ORD-8438-A</t>
  </si>
  <si>
    <t>TKT0082</t>
  </si>
  <si>
    <t>john doe | usb hub issue in Mumbai | order#81376</t>
  </si>
  <si>
    <t>ORD-3441-B</t>
  </si>
  <si>
    <t>TKT0083</t>
  </si>
  <si>
    <t>arun kumar | wireless mouse issue in Mumbai | order#84607</t>
  </si>
  <si>
    <t>ORD-3037-B</t>
  </si>
  <si>
    <t>TKT0084</t>
  </si>
  <si>
    <t>meena iyer | bluetooth speaker issue in Hyderabad | order#20543</t>
  </si>
  <si>
    <t>ORD-8078-C</t>
  </si>
  <si>
    <t>TKT0085</t>
  </si>
  <si>
    <t>rahul verma | bluetooth speaker issue in Chennai | order#98381</t>
  </si>
  <si>
    <t>ORD-1339-C</t>
  </si>
  <si>
    <t>TKT0086</t>
  </si>
  <si>
    <t>rahul verma | wireless mouse issue in Mumbai | order#95394</t>
  </si>
  <si>
    <t>ORD-3973-C</t>
  </si>
  <si>
    <t>TKT0087</t>
  </si>
  <si>
    <t>meena iyer | wireless mouse issue in Bangalore | order#53687</t>
  </si>
  <si>
    <t>ORD-2713-A</t>
  </si>
  <si>
    <t>TKT0088</t>
  </si>
  <si>
    <t>meena iyer | laptop stand issue in Delhi | order#14809</t>
  </si>
  <si>
    <t>ORD-6153-B</t>
  </si>
  <si>
    <t>TKT0089</t>
  </si>
  <si>
    <t>arun kumar | laptop stand issue in Hyderabad | order#81118</t>
  </si>
  <si>
    <t>ORD-1888-A</t>
  </si>
  <si>
    <t>TKT0090</t>
  </si>
  <si>
    <t>rahul verma | laptop stand issue in Bangalore | order#45003</t>
  </si>
  <si>
    <t>ORD-5719-B</t>
  </si>
  <si>
    <t>TKT0091</t>
  </si>
  <si>
    <t>arun kumar | wireless mouse issue in Hyderabad | order#50730</t>
  </si>
  <si>
    <t>ORD-7684-A</t>
  </si>
  <si>
    <t>TKT0092</t>
  </si>
  <si>
    <t>arun kumar | laptop stand issue in Chennai | order#48254</t>
  </si>
  <si>
    <t>ORD-5479-B</t>
  </si>
  <si>
    <t>TKT0093</t>
  </si>
  <si>
    <t>meena iyer | gaming keyboard issue in Bangalore | order#34983</t>
  </si>
  <si>
    <t>ORD-3236-A</t>
  </si>
  <si>
    <t>TKT0094</t>
  </si>
  <si>
    <t>meena iyer | bluetooth speaker issue in Hyderabad | order#47072</t>
  </si>
  <si>
    <t>ORD-9022-A</t>
  </si>
  <si>
    <t>TKT0095</t>
  </si>
  <si>
    <t>rahul verma | laptop stand issue in Delhi | order#81228</t>
  </si>
  <si>
    <t>ORD-6272-A</t>
  </si>
  <si>
    <t>TKT0096</t>
  </si>
  <si>
    <t>rahul verma | laptop stand issue in Mumbai | order#51704</t>
  </si>
  <si>
    <t>ORD-7246-B</t>
  </si>
  <si>
    <t>TKT0097</t>
  </si>
  <si>
    <t>meena iyer | wireless mouse issue in Mumbai | order#53515</t>
  </si>
  <si>
    <t>ORD-2633-C</t>
  </si>
  <si>
    <t>TKT0098</t>
  </si>
  <si>
    <t>arun kumar | gaming keyboard issue in Bangalore | order#71537</t>
  </si>
  <si>
    <t>ORD-7512-C</t>
  </si>
  <si>
    <t>TKT0099</t>
  </si>
  <si>
    <t>john doe | usb hub issue in Bangalore | order#73956</t>
  </si>
  <si>
    <t>ORD-2121-A</t>
  </si>
  <si>
    <t>TKT0100</t>
  </si>
  <si>
    <t>priya sharma | wireless mouse issue in Bangalore | order#23173</t>
  </si>
  <si>
    <t>ORD-5906-A</t>
  </si>
  <si>
    <t>TKT0101</t>
  </si>
  <si>
    <t>john doe | wireless mouse issue in Delhi | order#66450</t>
  </si>
  <si>
    <t>ORD-9702-B</t>
  </si>
  <si>
    <t>TKT0102</t>
  </si>
  <si>
    <t>priya sharma | gaming keyboard issue in Chennai | order#99539</t>
  </si>
  <si>
    <t>ORD-3344-A</t>
  </si>
  <si>
    <t>TKT0103</t>
  </si>
  <si>
    <t>john doe | laptop stand issue in Delhi | order#47700</t>
  </si>
  <si>
    <t>ORD-3588-A</t>
  </si>
  <si>
    <t>TKT0104</t>
  </si>
  <si>
    <t>john doe | usb hub issue in Delhi | order#69878</t>
  </si>
  <si>
    <t>ORD-7302-B</t>
  </si>
  <si>
    <t>TKT0105</t>
  </si>
  <si>
    <t>priya sharma | laptop stand issue in Hyderabad | order#48780</t>
  </si>
  <si>
    <t>ORD-1359-C</t>
  </si>
  <si>
    <t>TKT0106</t>
  </si>
  <si>
    <t>john doe | wireless mouse issue in Hyderabad | order#75107</t>
  </si>
  <si>
    <t>ORD-6772-A</t>
  </si>
  <si>
    <t>TKT0107</t>
  </si>
  <si>
    <t>rahul verma | bluetooth speaker issue in Mumbai | order#94717</t>
  </si>
  <si>
    <t>ORD-8222-A</t>
  </si>
  <si>
    <t>TKT0108</t>
  </si>
  <si>
    <t>priya sharma | wireless mouse issue in Delhi | order#33021</t>
  </si>
  <si>
    <t>ORD-9837-B</t>
  </si>
  <si>
    <t>TKT0109</t>
  </si>
  <si>
    <t>priya sharma | bluetooth speaker issue in Bangalore | order#25095</t>
  </si>
  <si>
    <t>ORD-3306-A</t>
  </si>
  <si>
    <t>TKT0110</t>
  </si>
  <si>
    <t>rahul verma | bluetooth speaker issue in Chennai | order#44663</t>
  </si>
  <si>
    <t>ORD-8451-B</t>
  </si>
  <si>
    <t>TKT0111</t>
  </si>
  <si>
    <t>rahul verma | laptop stand issue in Delhi | order#71797</t>
  </si>
  <si>
    <t>ORD-6374-C</t>
  </si>
  <si>
    <t>TKT0112</t>
  </si>
  <si>
    <t>arun kumar | laptop stand issue in Delhi | order#28320</t>
  </si>
  <si>
    <t>ORD-5986-B</t>
  </si>
  <si>
    <t>TKT0113</t>
  </si>
  <si>
    <t>arun kumar | gaming keyboard issue in Hyderabad | order#69459</t>
  </si>
  <si>
    <t>ORD-9850-B</t>
  </si>
  <si>
    <t>TKT0114</t>
  </si>
  <si>
    <t>meena iyer | wireless mouse issue in Bangalore | order#14288</t>
  </si>
  <si>
    <t>ORD-4559-B</t>
  </si>
  <si>
    <t>TKT0115</t>
  </si>
  <si>
    <t>priya sharma | bluetooth speaker issue in Chennai | order#94518</t>
  </si>
  <si>
    <t>ORD-7523-B</t>
  </si>
  <si>
    <t>TKT0116</t>
  </si>
  <si>
    <t>arun kumar | laptop stand issue in Chennai | order#93819</t>
  </si>
  <si>
    <t>ORD-1828-B</t>
  </si>
  <si>
    <t>TKT0117</t>
  </si>
  <si>
    <t>priya sharma | usb hub issue in Mumbai | order#37152</t>
  </si>
  <si>
    <t>ORD-4817-B</t>
  </si>
  <si>
    <t>TKT0118</t>
  </si>
  <si>
    <t>rahul verma | wireless mouse issue in Delhi | order#80807</t>
  </si>
  <si>
    <t>ORD-2801-C</t>
  </si>
  <si>
    <t>TKT0119</t>
  </si>
  <si>
    <t>priya sharma | wireless mouse issue in Delhi | order#52437</t>
  </si>
  <si>
    <t>ORD-5347-A</t>
  </si>
  <si>
    <t>TKT0120</t>
  </si>
  <si>
    <t>meena iyer | usb hub issue in Chennai | order#68756</t>
  </si>
  <si>
    <t>ORD-2786-B</t>
  </si>
  <si>
    <t>TKT0121</t>
  </si>
  <si>
    <t>rahul verma | wireless mouse issue in Hyderabad | order#94323</t>
  </si>
  <si>
    <t>ORD-8847-B</t>
  </si>
  <si>
    <t>TKT0122</t>
  </si>
  <si>
    <t>arun kumar | laptop stand issue in Bangalore | order#52219</t>
  </si>
  <si>
    <t>ORD-2076-A</t>
  </si>
  <si>
    <t>TKT0123</t>
  </si>
  <si>
    <t>rahul verma | usb hub issue in Hyderabad | order#88301</t>
  </si>
  <si>
    <t>ORD-8433-C</t>
  </si>
  <si>
    <t>TKT0124</t>
  </si>
  <si>
    <t>arun kumar | wireless mouse issue in Hyderabad | order#69186</t>
  </si>
  <si>
    <t>ORD-6553-B</t>
  </si>
  <si>
    <t>TKT0125</t>
  </si>
  <si>
    <t>meena iyer | wireless mouse issue in Delhi | order#97177</t>
  </si>
  <si>
    <t>ORD-3500-C</t>
  </si>
  <si>
    <t>TKT0126</t>
  </si>
  <si>
    <t>arun kumar | wireless mouse issue in Chennai | order#22656</t>
  </si>
  <si>
    <t>ORD-7105-A</t>
  </si>
  <si>
    <t>TKT0127</t>
  </si>
  <si>
    <t>rahul verma | usb hub issue in Hyderabad | order#63845</t>
  </si>
  <si>
    <t>ORD-7929-C</t>
  </si>
  <si>
    <t>TKT0128</t>
  </si>
  <si>
    <t>john doe | usb hub issue in Delhi | order#85748</t>
  </si>
  <si>
    <t>ORD-3535-C</t>
  </si>
  <si>
    <t>TKT0129</t>
  </si>
  <si>
    <t>priya sharma | wireless mouse issue in Delhi | order#46512</t>
  </si>
  <si>
    <t>ORD-8030-C</t>
  </si>
  <si>
    <t>TKT0130</t>
  </si>
  <si>
    <t>rahul verma | bluetooth speaker issue in Chennai | order#50499</t>
  </si>
  <si>
    <t>ORD-1100-A</t>
  </si>
  <si>
    <t>TKT0131</t>
  </si>
  <si>
    <t>rahul verma | laptop stand issue in Chennai | order#14018</t>
  </si>
  <si>
    <t>ORD-9691-A</t>
  </si>
  <si>
    <t>TKT0132</t>
  </si>
  <si>
    <t>meena iyer | laptop stand issue in Delhi | order#50846</t>
  </si>
  <si>
    <t>ORD-2391-A</t>
  </si>
  <si>
    <t>TKT0133</t>
  </si>
  <si>
    <t>priya sharma | usb hub issue in Chennai | order#68079</t>
  </si>
  <si>
    <t>ORD-8957-C</t>
  </si>
  <si>
    <t>TKT0134</t>
  </si>
  <si>
    <t>meena iyer | bluetooth speaker issue in Mumbai | order#55242</t>
  </si>
  <si>
    <t>ORD-5640-C</t>
  </si>
  <si>
    <t>TKT0135</t>
  </si>
  <si>
    <t>rahul verma | bluetooth speaker issue in Chennai | order#88554</t>
  </si>
  <si>
    <t>ORD-4349-B</t>
  </si>
  <si>
    <t>TKT0136</t>
  </si>
  <si>
    <t>priya sharma | bluetooth speaker issue in Delhi | order#11013</t>
  </si>
  <si>
    <t>ORD-8055-A</t>
  </si>
  <si>
    <t>TKT0137</t>
  </si>
  <si>
    <t>meena iyer | usb hub issue in Mumbai | order#97562</t>
  </si>
  <si>
    <t>ORD-7505-C</t>
  </si>
  <si>
    <t>TKT0138</t>
  </si>
  <si>
    <t>meena iyer | wireless mouse issue in Bangalore | order#85465</t>
  </si>
  <si>
    <t>ORD-7626-C</t>
  </si>
  <si>
    <t>TKT0139</t>
  </si>
  <si>
    <t>john doe | wireless mouse issue in Bangalore | order#32527</t>
  </si>
  <si>
    <t>ORD-6928-A</t>
  </si>
  <si>
    <t>TKT0140</t>
  </si>
  <si>
    <t>arun kumar | gaming keyboard issue in Bangalore | order#20308</t>
  </si>
  <si>
    <t>ORD-6562-A</t>
  </si>
  <si>
    <t>TKT0141</t>
  </si>
  <si>
    <t>priya sharma | wireless mouse issue in Hyderabad | order#76840</t>
  </si>
  <si>
    <t>ORD-6752-C</t>
  </si>
  <si>
    <t>TKT0142</t>
  </si>
  <si>
    <t>priya sharma | wireless mouse issue in Mumbai | order#32740</t>
  </si>
  <si>
    <t>ORD-2234-A</t>
  </si>
  <si>
    <t>TKT0143</t>
  </si>
  <si>
    <t>meena iyer | usb hub issue in Hyderabad | order#94278</t>
  </si>
  <si>
    <t>ORD-6295-C</t>
  </si>
  <si>
    <t>TKT0144</t>
  </si>
  <si>
    <t>priya sharma | laptop stand issue in Chennai | order#92756</t>
  </si>
  <si>
    <t>ORD-1920-B</t>
  </si>
  <si>
    <t>TKT0145</t>
  </si>
  <si>
    <t>john doe | laptop stand issue in Bangalore | order#58331</t>
  </si>
  <si>
    <t>ORD-2479-C</t>
  </si>
  <si>
    <t>TKT0146</t>
  </si>
  <si>
    <t>meena iyer | usb hub issue in Hyderabad | order#84928</t>
  </si>
  <si>
    <t>ORD-6267-C</t>
  </si>
  <si>
    <t>TKT0147</t>
  </si>
  <si>
    <t>rahul verma | gaming keyboard issue in Chennai | order#55015</t>
  </si>
  <si>
    <t>ORD-9266-C</t>
  </si>
  <si>
    <t>TKT0148</t>
  </si>
  <si>
    <t>arun kumar | gaming keyboard issue in Bangalore | order#78517</t>
  </si>
  <si>
    <t>ORD-6962-B</t>
  </si>
  <si>
    <t>TKT0149</t>
  </si>
  <si>
    <t>meena iyer | laptop stand issue in Delhi | order#94843</t>
  </si>
  <si>
    <t>ORD-6401-A</t>
  </si>
  <si>
    <t>TKT0150</t>
  </si>
  <si>
    <t>john doe | bluetooth speaker issue in Hyderabad | order#20682</t>
  </si>
  <si>
    <t>ORD-3317-B</t>
  </si>
  <si>
    <t>TKT0151</t>
  </si>
  <si>
    <t>meena iyer | gaming keyboard issue in Hyderabad | order#83259</t>
  </si>
  <si>
    <t>ORD-6381-A</t>
  </si>
  <si>
    <t>TKT0152</t>
  </si>
  <si>
    <t>meena iyer | usb hub issue in Delhi | order#50483</t>
  </si>
  <si>
    <t>ORD-6598-B</t>
  </si>
  <si>
    <t>TKT0153</t>
  </si>
  <si>
    <t>priya sharma | gaming keyboard issue in Mumbai | order#23256</t>
  </si>
  <si>
    <t>ORD-9626-A</t>
  </si>
  <si>
    <t>TKT0154</t>
  </si>
  <si>
    <t>rahul verma | gaming keyboard issue in Hyderabad | order#31266</t>
  </si>
  <si>
    <t>ORD-3712-C</t>
  </si>
  <si>
    <t>TKT0155</t>
  </si>
  <si>
    <t>arun kumar | laptop stand issue in Delhi | order#90031</t>
  </si>
  <si>
    <t>ORD-8355-A</t>
  </si>
  <si>
    <t>TKT0156</t>
  </si>
  <si>
    <t>john doe | laptop stand issue in Mumbai | order#67749</t>
  </si>
  <si>
    <t>ORD-7256-C</t>
  </si>
  <si>
    <t>TKT0157</t>
  </si>
  <si>
    <t>priya sharma | gaming keyboard issue in Hyderabad | order#16839</t>
  </si>
  <si>
    <t>ORD-7081-C</t>
  </si>
  <si>
    <t>TKT0158</t>
  </si>
  <si>
    <t>rahul verma | wireless mouse issue in Delhi | order#45755</t>
  </si>
  <si>
    <t>ORD-3414-B</t>
  </si>
  <si>
    <t>TKT0159</t>
  </si>
  <si>
    <t>priya sharma | laptop stand issue in Delhi | order#16980</t>
  </si>
  <si>
    <t>ORD-7126-A</t>
  </si>
  <si>
    <t>TKT0160</t>
  </si>
  <si>
    <t>arun kumar | bluetooth speaker issue in Mumbai | order#22987</t>
  </si>
  <si>
    <t>ORD-6493-A</t>
  </si>
  <si>
    <t>TKT0161</t>
  </si>
  <si>
    <t>arun kumar | bluetooth speaker issue in Bangalore | order#68799</t>
  </si>
  <si>
    <t>ORD-2298-A</t>
  </si>
  <si>
    <t>TKT0162</t>
  </si>
  <si>
    <t>priya sharma | gaming keyboard issue in Hyderabad | order#24573</t>
  </si>
  <si>
    <t>ORD-5934-A</t>
  </si>
  <si>
    <t>TKT0163</t>
  </si>
  <si>
    <t>priya sharma | laptop stand issue in Hyderabad | order#24530</t>
  </si>
  <si>
    <t>ORD-9782-A</t>
  </si>
  <si>
    <t>TKT0164</t>
  </si>
  <si>
    <t>priya sharma | bluetooth speaker issue in Bangalore | order#56244</t>
  </si>
  <si>
    <t>ORD-7825-A</t>
  </si>
  <si>
    <t>TKT0165</t>
  </si>
  <si>
    <t>rahul verma | bluetooth speaker issue in Chennai | order#76496</t>
  </si>
  <si>
    <t>ORD-1333-B</t>
  </si>
  <si>
    <t>TKT0166</t>
  </si>
  <si>
    <t>arun kumar | laptop stand issue in Delhi | order#56805</t>
  </si>
  <si>
    <t>ORD-4950-C</t>
  </si>
  <si>
    <t>TKT0167</t>
  </si>
  <si>
    <t>rahul verma | bluetooth speaker issue in Mumbai | order#81567</t>
  </si>
  <si>
    <t>ORD-3868-C</t>
  </si>
  <si>
    <t>TKT0168</t>
  </si>
  <si>
    <t>meena iyer | gaming keyboard issue in Mumbai | order#14847</t>
  </si>
  <si>
    <t>ORD-1717-A</t>
  </si>
  <si>
    <t>TKT0169</t>
  </si>
  <si>
    <t>john doe | bluetooth speaker issue in Hyderabad | order#72049</t>
  </si>
  <si>
    <t>ORD-4131-B</t>
  </si>
  <si>
    <t>TKT0170</t>
  </si>
  <si>
    <t>arun kumar | bluetooth speaker issue in Delhi | order#67272</t>
  </si>
  <si>
    <t>ORD-8204-B</t>
  </si>
  <si>
    <t>TKT0171</t>
  </si>
  <si>
    <t>priya sharma | laptop stand issue in Bangalore | order#44959</t>
  </si>
  <si>
    <t>ORD-7955-A</t>
  </si>
  <si>
    <t>TKT0172</t>
  </si>
  <si>
    <t>rahul verma | gaming keyboard issue in Hyderabad | order#23447</t>
  </si>
  <si>
    <t>ORD-5843-B</t>
  </si>
  <si>
    <t>TKT0173</t>
  </si>
  <si>
    <t>rahul verma | laptop stand issue in Mumbai | order#68606</t>
  </si>
  <si>
    <t>ORD-6776-C</t>
  </si>
  <si>
    <t>TKT0174</t>
  </si>
  <si>
    <t>john doe | wireless mouse issue in Chennai | order#77251</t>
  </si>
  <si>
    <t>ORD-3621-A</t>
  </si>
  <si>
    <t>TKT0175</t>
  </si>
  <si>
    <t>rahul verma | laptop stand issue in Chennai | order#40932</t>
  </si>
  <si>
    <t>ORD-6933-B</t>
  </si>
  <si>
    <t>TKT0176</t>
  </si>
  <si>
    <t>rahul verma | gaming keyboard issue in Bangalore | order#68188</t>
  </si>
  <si>
    <t>ORD-3255-C</t>
  </si>
  <si>
    <t>TKT0177</t>
  </si>
  <si>
    <t>meena iyer | bluetooth speaker issue in Delhi | order#13396</t>
  </si>
  <si>
    <t>ORD-9176-C</t>
  </si>
  <si>
    <t>TKT0178</t>
  </si>
  <si>
    <t>rahul verma | wireless mouse issue in Delhi | order#38124</t>
  </si>
  <si>
    <t>ORD-9047-A</t>
  </si>
  <si>
    <t>TKT0179</t>
  </si>
  <si>
    <t>priya sharma | wireless mouse issue in Bangalore | order#21506</t>
  </si>
  <si>
    <t>ORD-6692-C</t>
  </si>
  <si>
    <t>TKT0180</t>
  </si>
  <si>
    <t>rahul verma | usb hub issue in Delhi | order#93584</t>
  </si>
  <si>
    <t>ORD-9335-A</t>
  </si>
  <si>
    <t>TKT0181</t>
  </si>
  <si>
    <t>priya sharma | gaming keyboard issue in Mumbai | order#57303</t>
  </si>
  <si>
    <t>ORD-7044-B</t>
  </si>
  <si>
    <t>TKT0182</t>
  </si>
  <si>
    <t>rahul verma | wireless mouse issue in Chennai | order#72739</t>
  </si>
  <si>
    <t>ORD-7708-C</t>
  </si>
  <si>
    <t>TKT0183</t>
  </si>
  <si>
    <t>priya sharma | bluetooth speaker issue in Chennai | order#99143</t>
  </si>
  <si>
    <t>ORD-3102-C</t>
  </si>
  <si>
    <t>TKT0184</t>
  </si>
  <si>
    <t>priya sharma | laptop stand issue in Hyderabad | order#77908</t>
  </si>
  <si>
    <t>ORD-3697-A</t>
  </si>
  <si>
    <t>TKT0185</t>
  </si>
  <si>
    <t>priya sharma | bluetooth speaker issue in Hyderabad | order#42847</t>
  </si>
  <si>
    <t>ORD-5496-A</t>
  </si>
  <si>
    <t>TKT0186</t>
  </si>
  <si>
    <t>rahul verma | usb hub issue in Chennai | order#32103</t>
  </si>
  <si>
    <t>ORD-3526-A</t>
  </si>
  <si>
    <t>TKT0187</t>
  </si>
  <si>
    <t>rahul verma | wireless mouse issue in Chennai | order#94076</t>
  </si>
  <si>
    <t>ORD-4453-C</t>
  </si>
  <si>
    <t>TKT0188</t>
  </si>
  <si>
    <t>rahul verma | wireless mouse issue in Bangalore | order#49596</t>
  </si>
  <si>
    <t>ORD-7653-B</t>
  </si>
  <si>
    <t>TKT0189</t>
  </si>
  <si>
    <t>arun kumar | wireless mouse issue in Mumbai | order#73471</t>
  </si>
  <si>
    <t>ORD-6573-C</t>
  </si>
  <si>
    <t>TKT0190</t>
  </si>
  <si>
    <t>john doe | bluetooth speaker issue in Delhi | order#58567</t>
  </si>
  <si>
    <t>ORD-2739-B</t>
  </si>
  <si>
    <t>TKT0191</t>
  </si>
  <si>
    <t>meena iyer | wireless mouse issue in Delhi | order#28465</t>
  </si>
  <si>
    <t>ORD-5754-B</t>
  </si>
  <si>
    <t>TKT0192</t>
  </si>
  <si>
    <t>priya sharma | gaming keyboard issue in Delhi | order#30885</t>
  </si>
  <si>
    <t>ORD-8648-B</t>
  </si>
  <si>
    <t>TKT0193</t>
  </si>
  <si>
    <t>meena iyer | wireless mouse issue in Chennai | order#69930</t>
  </si>
  <si>
    <t>ORD-6781-A</t>
  </si>
  <si>
    <t>TKT0194</t>
  </si>
  <si>
    <t>john doe | laptop stand issue in Hyderabad | order#80345</t>
  </si>
  <si>
    <t>ORD-8060-A</t>
  </si>
  <si>
    <t>TKT0195</t>
  </si>
  <si>
    <t>john doe | laptop stand issue in Delhi | order#16705</t>
  </si>
  <si>
    <t>ORD-4189-B</t>
  </si>
  <si>
    <t>TKT0196</t>
  </si>
  <si>
    <t>arun kumar | laptop stand issue in Hyderabad | order#46663</t>
  </si>
  <si>
    <t>ORD-2946-A</t>
  </si>
  <si>
    <t>TKT0197</t>
  </si>
  <si>
    <t>meena iyer | bluetooth speaker issue in Delhi | order#36090</t>
  </si>
  <si>
    <t>ORD-7576-C</t>
  </si>
  <si>
    <t>TKT0198</t>
  </si>
  <si>
    <t>arun kumar | wireless mouse issue in Mumbai | order#78069</t>
  </si>
  <si>
    <t>ORD-9446-A</t>
  </si>
  <si>
    <t>TKT0199</t>
  </si>
  <si>
    <t>rahul verma | bluetooth speaker issue in Mumbai | order#49221</t>
  </si>
  <si>
    <t>ORD-9311-C</t>
  </si>
  <si>
    <t>TKT0200</t>
  </si>
  <si>
    <t>rahul verma | bluetooth speaker issue in Bangalore | order#53416</t>
  </si>
  <si>
    <t>ORD-7824-C</t>
  </si>
  <si>
    <t>TKT0201</t>
  </si>
  <si>
    <t>arun kumar | usb hub issue in Bangalore | order#85821</t>
  </si>
  <si>
    <t>ORD-1841-C</t>
  </si>
  <si>
    <t>TKT0202</t>
  </si>
  <si>
    <t>priya sharma | usb hub issue in Hyderabad | order#99224</t>
  </si>
  <si>
    <t>ORD-2800-A</t>
  </si>
  <si>
    <t>TKT0203</t>
  </si>
  <si>
    <t>meena iyer | bluetooth speaker issue in Bangalore | order#36724</t>
  </si>
  <si>
    <t>ORD-8726-C</t>
  </si>
  <si>
    <t>TKT0204</t>
  </si>
  <si>
    <t>priya sharma | usb hub issue in Mumbai | order#78875</t>
  </si>
  <si>
    <t>ORD-3837-B</t>
  </si>
  <si>
    <t>TKT0205</t>
  </si>
  <si>
    <t>rahul verma | bluetooth speaker issue in Delhi | order#42311</t>
  </si>
  <si>
    <t>ORD-5890-A</t>
  </si>
  <si>
    <t>TKT0206</t>
  </si>
  <si>
    <t>john doe | gaming keyboard issue in Bangalore | order#55718</t>
  </si>
  <si>
    <t>ORD-5480-B</t>
  </si>
  <si>
    <t>TKT0207</t>
  </si>
  <si>
    <t>rahul verma | usb hub issue in Bangalore | order#29198</t>
  </si>
  <si>
    <t>ORD-5712-C</t>
  </si>
  <si>
    <t>TKT0208</t>
  </si>
  <si>
    <t>john doe | laptop stand issue in Delhi | order#36485</t>
  </si>
  <si>
    <t>ORD-5450-A</t>
  </si>
  <si>
    <t>TKT0209</t>
  </si>
  <si>
    <t>rahul verma | usb hub issue in Mumbai | order#97796</t>
  </si>
  <si>
    <t>ORD-4814-A</t>
  </si>
  <si>
    <t>TKT0210</t>
  </si>
  <si>
    <t>meena iyer | bluetooth speaker issue in Bangalore | order#10679</t>
  </si>
  <si>
    <t>ORD-7666-C</t>
  </si>
  <si>
    <t>TKT0211</t>
  </si>
  <si>
    <t>meena iyer | gaming keyboard issue in Delhi | order#94659</t>
  </si>
  <si>
    <t>ORD-4804-C</t>
  </si>
  <si>
    <t>TKT0212</t>
  </si>
  <si>
    <t>priya sharma | laptop stand issue in Mumbai | order#74930</t>
  </si>
  <si>
    <t>ORD-5742-A</t>
  </si>
  <si>
    <t>TKT0213</t>
  </si>
  <si>
    <t>john doe | usb hub issue in Hyderabad | order#47298</t>
  </si>
  <si>
    <t>ORD-9901-C</t>
  </si>
  <si>
    <t>TKT0214</t>
  </si>
  <si>
    <t>priya sharma | usb hub issue in Bangalore | order#24764</t>
  </si>
  <si>
    <t>ORD-8518-C</t>
  </si>
  <si>
    <t>TKT0215</t>
  </si>
  <si>
    <t>priya sharma | wireless mouse issue in Delhi | order#98395</t>
  </si>
  <si>
    <t>ORD-7643-B</t>
  </si>
  <si>
    <t>TKT0216</t>
  </si>
  <si>
    <t>arun kumar | laptop stand issue in Chennai | order#72580</t>
  </si>
  <si>
    <t>ORD-1111-B</t>
  </si>
  <si>
    <t>TKT0217</t>
  </si>
  <si>
    <t>priya sharma | laptop stand issue in Delhi | order#86344</t>
  </si>
  <si>
    <t>ORD-1187-B</t>
  </si>
  <si>
    <t>TKT0218</t>
  </si>
  <si>
    <t>priya sharma | wireless mouse issue in Chennai | order#30934</t>
  </si>
  <si>
    <t>ORD-9233-C</t>
  </si>
  <si>
    <t>TKT0219</t>
  </si>
  <si>
    <t>arun kumar | bluetooth speaker issue in Delhi | order#27507</t>
  </si>
  <si>
    <t>ORD-8454-C</t>
  </si>
  <si>
    <t>TKT0220</t>
  </si>
  <si>
    <t>meena iyer | usb hub issue in Bangalore | order#99173</t>
  </si>
  <si>
    <t>ORD-9609-B</t>
  </si>
  <si>
    <t>TKT0221</t>
  </si>
  <si>
    <t>arun kumar | usb hub issue in Chennai | order#76255</t>
  </si>
  <si>
    <t>ORD-9792-A</t>
  </si>
  <si>
    <t>TKT0222</t>
  </si>
  <si>
    <t>john doe | usb hub issue in Bangalore | order#86434</t>
  </si>
  <si>
    <t>ORD-9361-B</t>
  </si>
  <si>
    <t>TKT0223</t>
  </si>
  <si>
    <t>meena iyer | gaming keyboard issue in Hyderabad | order#83912</t>
  </si>
  <si>
    <t>ORD-8575-C</t>
  </si>
  <si>
    <t>TKT0224</t>
  </si>
  <si>
    <t>arun kumar | laptop stand issue in Delhi | order#85800</t>
  </si>
  <si>
    <t>ORD-7941-B</t>
  </si>
  <si>
    <t>TKT0225</t>
  </si>
  <si>
    <t>rahul verma | wireless mouse issue in Chennai | order#47629</t>
  </si>
  <si>
    <t>ORD-3218-C</t>
  </si>
  <si>
    <t>TKT0226</t>
  </si>
  <si>
    <t>john doe | laptop stand issue in Bangalore | order#20518</t>
  </si>
  <si>
    <t>ORD-9835-A</t>
  </si>
  <si>
    <t>TKT0227</t>
  </si>
  <si>
    <t>arun kumar | gaming keyboard issue in Hyderabad | order#26691</t>
  </si>
  <si>
    <t>ORD-1056-A</t>
  </si>
  <si>
    <t>TKT0228</t>
  </si>
  <si>
    <t>meena iyer | usb hub issue in Bangalore | order#40102</t>
  </si>
  <si>
    <t>ORD-6671-A</t>
  </si>
  <si>
    <t>TKT0229</t>
  </si>
  <si>
    <t>priya sharma | wireless mouse issue in Chennai | order#12050</t>
  </si>
  <si>
    <t>ORD-2102-A</t>
  </si>
  <si>
    <t>TKT0230</t>
  </si>
  <si>
    <t>meena iyer | usb hub issue in Chennai | order#62725</t>
  </si>
  <si>
    <t>ORD-9843-A</t>
  </si>
  <si>
    <t>TKT0231</t>
  </si>
  <si>
    <t>priya sharma | usb hub issue in Delhi | order#51799</t>
  </si>
  <si>
    <t>ORD-6253-A</t>
  </si>
  <si>
    <t>TKT0232</t>
  </si>
  <si>
    <t>priya sharma | usb hub issue in Mumbai | order#46064</t>
  </si>
  <si>
    <t>ORD-3869-C</t>
  </si>
  <si>
    <t>TKT0233</t>
  </si>
  <si>
    <t>rahul verma | laptop stand issue in Chennai | order#97994</t>
  </si>
  <si>
    <t>ORD-6222-C</t>
  </si>
  <si>
    <t>TKT0234</t>
  </si>
  <si>
    <t>meena iyer | gaming keyboard issue in Delhi | order#80507</t>
  </si>
  <si>
    <t>ORD-4692-B</t>
  </si>
  <si>
    <t>TKT0235</t>
  </si>
  <si>
    <t>meena iyer | wireless mouse issue in Hyderabad | order#83044</t>
  </si>
  <si>
    <t>ORD-7363-A</t>
  </si>
  <si>
    <t>TKT0236</t>
  </si>
  <si>
    <t>priya sharma | bluetooth speaker issue in Chennai | order#22119</t>
  </si>
  <si>
    <t>ORD-4120-A</t>
  </si>
  <si>
    <t>TKT0237</t>
  </si>
  <si>
    <t>meena iyer | usb hub issue in Hyderabad | order#34662</t>
  </si>
  <si>
    <t>ORD-4555-B</t>
  </si>
  <si>
    <t>TKT0238</t>
  </si>
  <si>
    <t>john doe | bluetooth speaker issue in Chennai | order#25376</t>
  </si>
  <si>
    <t>ORD-4974-C</t>
  </si>
  <si>
    <t>TKT0239</t>
  </si>
  <si>
    <t>meena iyer | gaming keyboard issue in Hyderabad | order#59894</t>
  </si>
  <si>
    <t>ORD-6886-B</t>
  </si>
  <si>
    <t>TKT0240</t>
  </si>
  <si>
    <t>john doe | usb hub issue in Bangalore | order#71537</t>
  </si>
  <si>
    <t>ORD-7073-B</t>
  </si>
  <si>
    <t>TKT0241</t>
  </si>
  <si>
    <t>arun kumar | usb hub issue in Mumbai | order#44180</t>
  </si>
  <si>
    <t>ORD-7841-B</t>
  </si>
  <si>
    <t>TKT0242</t>
  </si>
  <si>
    <t>priya sharma | bluetooth speaker issue in Mumbai | order#42208</t>
  </si>
  <si>
    <t>ORD-6530-B</t>
  </si>
  <si>
    <t>TKT0243</t>
  </si>
  <si>
    <t>meena iyer | laptop stand issue in Mumbai | order#28344</t>
  </si>
  <si>
    <t>ORD-9000-A</t>
  </si>
  <si>
    <t>TKT0244</t>
  </si>
  <si>
    <t>rahul verma | wireless mouse issue in Chennai | order#64053</t>
  </si>
  <si>
    <t>ORD-4791-A</t>
  </si>
  <si>
    <t>TKT0245</t>
  </si>
  <si>
    <t>arun kumar | gaming keyboard issue in Hyderabad | order#17923</t>
  </si>
  <si>
    <t>ORD-8916-C</t>
  </si>
  <si>
    <t>TKT0246</t>
  </si>
  <si>
    <t>arun kumar | wireless mouse issue in Hyderabad | order#12192</t>
  </si>
  <si>
    <t>ORD-5501-C</t>
  </si>
  <si>
    <t>TKT0247</t>
  </si>
  <si>
    <t>arun kumar | usb hub issue in Bangalore | order#22624</t>
  </si>
  <si>
    <t>ORD-4948-A</t>
  </si>
  <si>
    <t>TKT0248</t>
  </si>
  <si>
    <t>john doe | bluetooth speaker issue in Bangalore | order#63218</t>
  </si>
  <si>
    <t>ORD-4984-C</t>
  </si>
  <si>
    <t>TKT0249</t>
  </si>
  <si>
    <t>john doe | wireless mouse issue in Chennai | order#59710</t>
  </si>
  <si>
    <t>ORD-8798-A</t>
  </si>
  <si>
    <t>TKT0250</t>
  </si>
  <si>
    <t>priya sharma | wireless mouse issue in Bangalore | order#53420</t>
  </si>
  <si>
    <t>ORD-9653-A</t>
  </si>
  <si>
    <t>TKT0251</t>
  </si>
  <si>
    <t>priya sharma | usb hub issue in Bangalore | order#19744</t>
  </si>
  <si>
    <t>ORD-9897-C</t>
  </si>
  <si>
    <t>TKT0252</t>
  </si>
  <si>
    <t>priya sharma | bluetooth speaker issue in Chennai | order#28899</t>
  </si>
  <si>
    <t>ORD-2260-B</t>
  </si>
  <si>
    <t>TKT0253</t>
  </si>
  <si>
    <t>rahul verma | gaming keyboard issue in Hyderabad | order#53480</t>
  </si>
  <si>
    <t>ORD-3292-C</t>
  </si>
  <si>
    <t>TKT0254</t>
  </si>
  <si>
    <t>rahul verma | bluetooth speaker issue in Chennai | order#40427</t>
  </si>
  <si>
    <t>ORD-7499-B</t>
  </si>
  <si>
    <t>TKT0255</t>
  </si>
  <si>
    <t>john doe | laptop stand issue in Bangalore | order#82487</t>
  </si>
  <si>
    <t>ORD-4043-C</t>
  </si>
  <si>
    <t>TKT0256</t>
  </si>
  <si>
    <t>arun kumar | usb hub issue in Delhi | order#20752</t>
  </si>
  <si>
    <t>ORD-7225-C</t>
  </si>
  <si>
    <t>TKT0257</t>
  </si>
  <si>
    <t>meena iyer | bluetooth speaker issue in Delhi | order#10680</t>
  </si>
  <si>
    <t>ORD-6896-B</t>
  </si>
  <si>
    <t>TKT0258</t>
  </si>
  <si>
    <t>priya sharma | wireless mouse issue in Mumbai | order#83005</t>
  </si>
  <si>
    <t>ORD-7685-A</t>
  </si>
  <si>
    <t>TKT0259</t>
  </si>
  <si>
    <t>arun kumar | bluetooth speaker issue in Hyderabad | order#88386</t>
  </si>
  <si>
    <t>ORD-1202-B</t>
  </si>
  <si>
    <t>TKT0260</t>
  </si>
  <si>
    <t>meena iyer | wireless mouse issue in Hyderabad | order#78302</t>
  </si>
  <si>
    <t>ORD-7237-A</t>
  </si>
  <si>
    <t>TKT0261</t>
  </si>
  <si>
    <t>john doe | bluetooth speaker issue in Delhi | order#18292</t>
  </si>
  <si>
    <t>ORD-5521-B</t>
  </si>
  <si>
    <t>TKT0262</t>
  </si>
  <si>
    <t>meena iyer | wireless mouse issue in Delhi | order#91924</t>
  </si>
  <si>
    <t>ORD-4203-B</t>
  </si>
  <si>
    <t>TKT0263</t>
  </si>
  <si>
    <t>priya sharma | bluetooth speaker issue in Chennai | order#91289</t>
  </si>
  <si>
    <t>ORD-8212-B</t>
  </si>
  <si>
    <t>TKT0264</t>
  </si>
  <si>
    <t>rahul verma | gaming keyboard issue in Delhi | order#36326</t>
  </si>
  <si>
    <t>ORD-3910-B</t>
  </si>
  <si>
    <t>TKT0265</t>
  </si>
  <si>
    <t>john doe | laptop stand issue in Hyderabad | order#59290</t>
  </si>
  <si>
    <t>ORD-6980-A</t>
  </si>
  <si>
    <t>TKT0266</t>
  </si>
  <si>
    <t>rahul verma | usb hub issue in Mumbai | order#37479</t>
  </si>
  <si>
    <t>ORD-2133-B</t>
  </si>
  <si>
    <t>TKT0267</t>
  </si>
  <si>
    <t>priya sharma | bluetooth speaker issue in Mumbai | order#30203</t>
  </si>
  <si>
    <t>ORD-7176-A</t>
  </si>
  <si>
    <t>TKT0268</t>
  </si>
  <si>
    <t>rahul verma | laptop stand issue in Hyderabad | order#76402</t>
  </si>
  <si>
    <t>ORD-9907-A</t>
  </si>
  <si>
    <t>TKT0269</t>
  </si>
  <si>
    <t>rahul verma | usb hub issue in Chennai | order#96193</t>
  </si>
  <si>
    <t>ORD-3725-C</t>
  </si>
  <si>
    <t>TKT0270</t>
  </si>
  <si>
    <t>rahul verma | laptop stand issue in Delhi | order#11382</t>
  </si>
  <si>
    <t>ORD-4637-C</t>
  </si>
  <si>
    <t>TKT0271</t>
  </si>
  <si>
    <t>meena iyer | bluetooth speaker issue in Bangalore | order#75597</t>
  </si>
  <si>
    <t>ORD-1402-B</t>
  </si>
  <si>
    <t>TKT0272</t>
  </si>
  <si>
    <t>john doe | laptop stand issue in Chennai | order#55656</t>
  </si>
  <si>
    <t>ORD-8460-A</t>
  </si>
  <si>
    <t>TKT0273</t>
  </si>
  <si>
    <t>john doe | laptop stand issue in Chennai | order#51800</t>
  </si>
  <si>
    <t>ORD-1732-C</t>
  </si>
  <si>
    <t>TKT0274</t>
  </si>
  <si>
    <t>arun kumar | bluetooth speaker issue in Chennai | order#77632</t>
  </si>
  <si>
    <t>ORD-3623-B</t>
  </si>
  <si>
    <t>TKT0275</t>
  </si>
  <si>
    <t>meena iyer | gaming keyboard issue in Bangalore | order#93948</t>
  </si>
  <si>
    <t>ORD-7481-A</t>
  </si>
  <si>
    <t>TKT0276</t>
  </si>
  <si>
    <t>meena iyer | usb hub issue in Bangalore | order#38153</t>
  </si>
  <si>
    <t>ORD-2025-C</t>
  </si>
  <si>
    <t>TKT0277</t>
  </si>
  <si>
    <t>rahul verma | gaming keyboard issue in Delhi | order#69972</t>
  </si>
  <si>
    <t>ORD-9019-C</t>
  </si>
  <si>
    <t>TKT0278</t>
  </si>
  <si>
    <t>rahul verma | laptop stand issue in Hyderabad | order#24972</t>
  </si>
  <si>
    <t>ORD-8501-C</t>
  </si>
  <si>
    <t>TKT0279</t>
  </si>
  <si>
    <t>john doe | usb hub issue in Hyderabad | order#51049</t>
  </si>
  <si>
    <t>ORD-6003-A</t>
  </si>
  <si>
    <t>TKT0280</t>
  </si>
  <si>
    <t>john doe | gaming keyboard issue in Hyderabad | order#88174</t>
  </si>
  <si>
    <t>ORD-7286-B</t>
  </si>
  <si>
    <t>TKT0281</t>
  </si>
  <si>
    <t>meena iyer | usb hub issue in Mumbai | order#47858</t>
  </si>
  <si>
    <t>ORD-6154-B</t>
  </si>
  <si>
    <t>TKT0282</t>
  </si>
  <si>
    <t>john doe | wireless mouse issue in Bangalore | order#60324</t>
  </si>
  <si>
    <t>ORD-9109-B</t>
  </si>
  <si>
    <t>TKT0283</t>
  </si>
  <si>
    <t>meena iyer | laptop stand issue in Bangalore | order#84107</t>
  </si>
  <si>
    <t>ORD-5785-A</t>
  </si>
  <si>
    <t>TKT0284</t>
  </si>
  <si>
    <t>priya sharma | usb hub issue in Delhi | order#84140</t>
  </si>
  <si>
    <t>ORD-9369-A</t>
  </si>
  <si>
    <t>TKT0285</t>
  </si>
  <si>
    <t>john doe | usb hub issue in Delhi | order#81611</t>
  </si>
  <si>
    <t>ORD-2677-C</t>
  </si>
  <si>
    <t>TKT0286</t>
  </si>
  <si>
    <t>john doe | wireless mouse issue in Bangalore | order#21401</t>
  </si>
  <si>
    <t>ORD-4882-A</t>
  </si>
  <si>
    <t>TKT0287</t>
  </si>
  <si>
    <t>rahul verma | laptop stand issue in Mumbai | order#37124</t>
  </si>
  <si>
    <t>ORD-6747-C</t>
  </si>
  <si>
    <t>TKT0288</t>
  </si>
  <si>
    <t>rahul verma | usb hub issue in Mumbai | order#47923</t>
  </si>
  <si>
    <t>ORD-9428-C</t>
  </si>
  <si>
    <t>TKT0289</t>
  </si>
  <si>
    <t>priya sharma | laptop stand issue in Chennai | order#26631</t>
  </si>
  <si>
    <t>ORD-5090-A</t>
  </si>
  <si>
    <t>TKT0290</t>
  </si>
  <si>
    <t>priya sharma | laptop stand issue in Bangalore | order#92890</t>
  </si>
  <si>
    <t>ORD-7786-B</t>
  </si>
  <si>
    <t>TKT0291</t>
  </si>
  <si>
    <t>arun kumar | wireless mouse issue in Bangalore | order#58374</t>
  </si>
  <si>
    <t>ORD-6362-C</t>
  </si>
  <si>
    <t>TKT0292</t>
  </si>
  <si>
    <t>arun kumar | laptop stand issue in Delhi | order#62129</t>
  </si>
  <si>
    <t>ORD-4470-B</t>
  </si>
  <si>
    <t>TKT0293</t>
  </si>
  <si>
    <t>john doe | bluetooth speaker issue in Delhi | order#73614</t>
  </si>
  <si>
    <t>ORD-1793-A</t>
  </si>
  <si>
    <t>TKT0294</t>
  </si>
  <si>
    <t>meena iyer | wireless mouse issue in Chennai | order#69836</t>
  </si>
  <si>
    <t>ORD-4314-C</t>
  </si>
  <si>
    <t>TKT0295</t>
  </si>
  <si>
    <t>john doe | gaming keyboard issue in Delhi | order#57242</t>
  </si>
  <si>
    <t>ORD-7092-C</t>
  </si>
  <si>
    <t>TKT0296</t>
  </si>
  <si>
    <t>arun kumar | laptop stand issue in Delhi | order#95915</t>
  </si>
  <si>
    <t>ORD-2559-A</t>
  </si>
  <si>
    <t>TKT0297</t>
  </si>
  <si>
    <t>meena iyer | wireless mouse issue in Mumbai | order#99126</t>
  </si>
  <si>
    <t>ORD-1132-C</t>
  </si>
  <si>
    <t>TKT0298</t>
  </si>
  <si>
    <t>arun kumar | laptop stand issue in Mumbai | order#40008</t>
  </si>
  <si>
    <t>ORD-2678-A</t>
  </si>
  <si>
    <t>TKT0299</t>
  </si>
  <si>
    <t>john doe | bluetooth speaker issue in Mumbai | order#94092</t>
  </si>
  <si>
    <t>ORD-2120-C</t>
  </si>
  <si>
    <t>TKT0300</t>
  </si>
  <si>
    <t>rahul verma | gaming keyboard issue in Bangalore | order#92323</t>
  </si>
  <si>
    <t>ORD-7745-C</t>
  </si>
  <si>
    <t>TKT0301</t>
  </si>
  <si>
    <t>priya sharma | wireless mouse issue in Chennai | order#87276</t>
  </si>
  <si>
    <t>ORD-6759-B</t>
  </si>
  <si>
    <t>TKT0302</t>
  </si>
  <si>
    <t>priya sharma | gaming keyboard issue in Delhi | order#82534</t>
  </si>
  <si>
    <t>ORD-5668-C</t>
  </si>
  <si>
    <t>TKT0303</t>
  </si>
  <si>
    <t>john doe | gaming keyboard issue in Hyderabad | order#61347</t>
  </si>
  <si>
    <t>ORD-1894-A</t>
  </si>
  <si>
    <t>TKT0304</t>
  </si>
  <si>
    <t>meena iyer | wireless mouse issue in Mumbai | order#87847</t>
  </si>
  <si>
    <t>ORD-1197-B</t>
  </si>
  <si>
    <t>TKT0305</t>
  </si>
  <si>
    <t>priya sharma | laptop stand issue in Hyderabad | order#81612</t>
  </si>
  <si>
    <t>ORD-8717-A</t>
  </si>
  <si>
    <t>TKT0306</t>
  </si>
  <si>
    <t>rahul verma | wireless mouse issue in Chennai | order#15220</t>
  </si>
  <si>
    <t>ORD-9300-B</t>
  </si>
  <si>
    <t>TKT0307</t>
  </si>
  <si>
    <t>meena iyer | laptop stand issue in Chennai | order#20957</t>
  </si>
  <si>
    <t>ORD-9377-A</t>
  </si>
  <si>
    <t>TKT0308</t>
  </si>
  <si>
    <t>rahul verma | bluetooth speaker issue in Bangalore | order#67342</t>
  </si>
  <si>
    <t>ORD-1948-A</t>
  </si>
  <si>
    <t>TKT0309</t>
  </si>
  <si>
    <t>meena iyer | wireless mouse issue in Bangalore | order#97304</t>
  </si>
  <si>
    <t>ORD-3877-A</t>
  </si>
  <si>
    <t>TKT0310</t>
  </si>
  <si>
    <t>priya sharma | wireless mouse issue in Mumbai | order#78551</t>
  </si>
  <si>
    <t>ORD-5247-A</t>
  </si>
  <si>
    <t>TKT0311</t>
  </si>
  <si>
    <t>priya sharma | bluetooth speaker issue in Chennai | order#66272</t>
  </si>
  <si>
    <t>ORD-2046-B</t>
  </si>
  <si>
    <t>TKT0312</t>
  </si>
  <si>
    <t>meena iyer | laptop stand issue in Hyderabad | order#75484</t>
  </si>
  <si>
    <t>ORD-7024-A</t>
  </si>
  <si>
    <t>TKT0313</t>
  </si>
  <si>
    <t>arun kumar | usb hub issue in Chennai | order#10336</t>
  </si>
  <si>
    <t>ORD-5006-A</t>
  </si>
  <si>
    <t>TKT0314</t>
  </si>
  <si>
    <t>john doe | laptop stand issue in Mumbai | order#82465</t>
  </si>
  <si>
    <t>ORD-7870-A</t>
  </si>
  <si>
    <t>TKT0315</t>
  </si>
  <si>
    <t>priya sharma | laptop stand issue in Delhi | order#84912</t>
  </si>
  <si>
    <t>ORD-9225-C</t>
  </si>
  <si>
    <t>TKT0316</t>
  </si>
  <si>
    <t>priya sharma | gaming keyboard issue in Hyderabad | order#19034</t>
  </si>
  <si>
    <t>ORD-6090-B</t>
  </si>
  <si>
    <t>TKT0317</t>
  </si>
  <si>
    <t>rahul verma | laptop stand issue in Chennai | order#48219</t>
  </si>
  <si>
    <t>ORD-4974-B</t>
  </si>
  <si>
    <t>TKT0318</t>
  </si>
  <si>
    <t>rahul verma | laptop stand issue in Mumbai | order#10835</t>
  </si>
  <si>
    <t>ORD-4817-C</t>
  </si>
  <si>
    <t>TKT0319</t>
  </si>
  <si>
    <t>arun kumar | bluetooth speaker issue in Chennai | order#23624</t>
  </si>
  <si>
    <t>ORD-4902-B</t>
  </si>
  <si>
    <t>TKT0320</t>
  </si>
  <si>
    <t>arun kumar | gaming keyboard issue in Delhi | order#40339</t>
  </si>
  <si>
    <t>ORD-7102-B</t>
  </si>
  <si>
    <t>TKT0321</t>
  </si>
  <si>
    <t>rahul verma | wireless mouse issue in Hyderabad | order#61688</t>
  </si>
  <si>
    <t>ORD-2020-B</t>
  </si>
  <si>
    <t>TKT0322</t>
  </si>
  <si>
    <t>priya sharma | bluetooth speaker issue in Delhi | order#52762</t>
  </si>
  <si>
    <t>ORD-5455-A</t>
  </si>
  <si>
    <t>TKT0323</t>
  </si>
  <si>
    <t>priya sharma | gaming keyboard issue in Hyderabad | order#23848</t>
  </si>
  <si>
    <t>ORD-8635-B</t>
  </si>
  <si>
    <t>TKT0324</t>
  </si>
  <si>
    <t>arun kumar | usb hub issue in Delhi | order#50410</t>
  </si>
  <si>
    <t>ORD-2964-A</t>
  </si>
  <si>
    <t>TKT0325</t>
  </si>
  <si>
    <t>john doe | usb hub issue in Chennai | order#29441</t>
  </si>
  <si>
    <t>ORD-5066-B</t>
  </si>
  <si>
    <t>TKT0326</t>
  </si>
  <si>
    <t>rahul verma | wireless mouse issue in Delhi | order#14073</t>
  </si>
  <si>
    <t>ORD-5093-A</t>
  </si>
  <si>
    <t>TKT0327</t>
  </si>
  <si>
    <t>arun kumar | gaming keyboard issue in Chennai | order#39135</t>
  </si>
  <si>
    <t>ORD-7563-B</t>
  </si>
  <si>
    <t>TKT0328</t>
  </si>
  <si>
    <t>rahul verma | usb hub issue in Delhi | order#18450</t>
  </si>
  <si>
    <t>ORD-8265-A</t>
  </si>
  <si>
    <t>TKT0329</t>
  </si>
  <si>
    <t>john doe | wireless mouse issue in Chennai | order#32018</t>
  </si>
  <si>
    <t>ORD-7471-B</t>
  </si>
  <si>
    <t>TKT0330</t>
  </si>
  <si>
    <t>meena iyer | laptop stand issue in Mumbai | order#34530</t>
  </si>
  <si>
    <t>ORD-8307-A</t>
  </si>
  <si>
    <t>TKT0331</t>
  </si>
  <si>
    <t>rahul verma | usb hub issue in Hyderabad | order#48680</t>
  </si>
  <si>
    <t>ORD-8848-A</t>
  </si>
  <si>
    <t>TKT0332</t>
  </si>
  <si>
    <t>john doe | laptop stand issue in Mumbai | order#94233</t>
  </si>
  <si>
    <t>TKT0333</t>
  </si>
  <si>
    <t>john doe | laptop stand issue in Hyderabad | order#84141</t>
  </si>
  <si>
    <t>ORD-7363-B</t>
  </si>
  <si>
    <t>TKT0334</t>
  </si>
  <si>
    <t>arun kumar | bluetooth speaker issue in Hyderabad | order#46822</t>
  </si>
  <si>
    <t>ORD-9674-B</t>
  </si>
  <si>
    <t>TKT0335</t>
  </si>
  <si>
    <t>priya sharma | wireless mouse issue in Mumbai | order#79951</t>
  </si>
  <si>
    <t>ORD-4594-C</t>
  </si>
  <si>
    <t>TKT0336</t>
  </si>
  <si>
    <t>john doe | gaming keyboard issue in Mumbai | order#51681</t>
  </si>
  <si>
    <t>ORD-6878-C</t>
  </si>
  <si>
    <t>TKT0337</t>
  </si>
  <si>
    <t>john doe | usb hub issue in Hyderabad | order#34672</t>
  </si>
  <si>
    <t>ORD-6063-A</t>
  </si>
  <si>
    <t>TKT0338</t>
  </si>
  <si>
    <t>arun kumar | wireless mouse issue in Chennai | order#38679</t>
  </si>
  <si>
    <t>ORD-8831-A</t>
  </si>
  <si>
    <t>TKT0339</t>
  </si>
  <si>
    <t>rahul verma | gaming keyboard issue in Mumbai | order#52413</t>
  </si>
  <si>
    <t>ORD-3420-C</t>
  </si>
  <si>
    <t>TKT0340</t>
  </si>
  <si>
    <t>arun kumar | usb hub issue in Delhi | order#96787</t>
  </si>
  <si>
    <t>ORD-2655-B</t>
  </si>
  <si>
    <t>TKT0341</t>
  </si>
  <si>
    <t>john doe | gaming keyboard issue in Mumbai | order#73858</t>
  </si>
  <si>
    <t>ORD-3854-C</t>
  </si>
  <si>
    <t>TKT0342</t>
  </si>
  <si>
    <t>priya sharma | usb hub issue in Mumbai | order#48602</t>
  </si>
  <si>
    <t>ORD-1029-C</t>
  </si>
  <si>
    <t>TKT0343</t>
  </si>
  <si>
    <t>rahul verma | wireless mouse issue in Mumbai | order#38953</t>
  </si>
  <si>
    <t>ORD-2705-B</t>
  </si>
  <si>
    <t>TKT0344</t>
  </si>
  <si>
    <t>john doe | wireless mouse issue in Mumbai | order#32005</t>
  </si>
  <si>
    <t>ORD-6500-B</t>
  </si>
  <si>
    <t>TKT0345</t>
  </si>
  <si>
    <t>john doe | gaming keyboard issue in Mumbai | order#43640</t>
  </si>
  <si>
    <t>ORD-1020-A</t>
  </si>
  <si>
    <t>TKT0346</t>
  </si>
  <si>
    <t>meena iyer | laptop stand issue in Mumbai | order#59638</t>
  </si>
  <si>
    <t>ORD-7149-A</t>
  </si>
  <si>
    <t>TKT0347</t>
  </si>
  <si>
    <t>rahul verma | gaming keyboard issue in Mumbai | order#14379</t>
  </si>
  <si>
    <t>ORD-6221-B</t>
  </si>
  <si>
    <t>TKT0348</t>
  </si>
  <si>
    <t>arun kumar | bluetooth speaker issue in Mumbai | order#19830</t>
  </si>
  <si>
    <t>ORD-6536-C</t>
  </si>
  <si>
    <t>TKT0349</t>
  </si>
  <si>
    <t>arun kumar | laptop stand issue in Mumbai | order#17019</t>
  </si>
  <si>
    <t>ORD-4367-A</t>
  </si>
  <si>
    <t>TKT0350</t>
  </si>
  <si>
    <t>rahul verma | usb hub issue in Delhi | order#41135</t>
  </si>
  <si>
    <t>ORD-7437-C</t>
  </si>
  <si>
    <t>TKT0351</t>
  </si>
  <si>
    <t>priya sharma | wireless mouse issue in Delhi | order#21485</t>
  </si>
  <si>
    <t>ORD-8869-A</t>
  </si>
  <si>
    <t>TKT0352</t>
  </si>
  <si>
    <t>arun kumar | gaming keyboard issue in Mumbai | order#72071</t>
  </si>
  <si>
    <t>ORD-7512-B</t>
  </si>
  <si>
    <t>TKT0353</t>
  </si>
  <si>
    <t>john doe | wireless mouse issue in Hyderabad | order#58630</t>
  </si>
  <si>
    <t>ORD-4056-B</t>
  </si>
  <si>
    <t>TKT0354</t>
  </si>
  <si>
    <t>john doe | laptop stand issue in Bangalore | order#45200</t>
  </si>
  <si>
    <t>ORD-3476-C</t>
  </si>
  <si>
    <t>TKT0355</t>
  </si>
  <si>
    <t>arun kumar | bluetooth speaker issue in Hyderabad | order#39820</t>
  </si>
  <si>
    <t>ORD-7342-C</t>
  </si>
  <si>
    <t>TKT0356</t>
  </si>
  <si>
    <t>rahul verma | laptop stand issue in Hyderabad | order#49171</t>
  </si>
  <si>
    <t>ORD-1568-C</t>
  </si>
  <si>
    <t>TKT0357</t>
  </si>
  <si>
    <t>arun kumar | laptop stand issue in Mumbai | order#35260</t>
  </si>
  <si>
    <t>ORD-7936-A</t>
  </si>
  <si>
    <t>TKT0358</t>
  </si>
  <si>
    <t>priya sharma | gaming keyboard issue in Hyderabad | order#18783</t>
  </si>
  <si>
    <t>ORD-7510-C</t>
  </si>
  <si>
    <t>TKT0359</t>
  </si>
  <si>
    <t>john doe | usb hub issue in Bangalore | order#87014</t>
  </si>
  <si>
    <t>ORD-2843-B</t>
  </si>
  <si>
    <t>TKT0360</t>
  </si>
  <si>
    <t>priya sharma | usb hub issue in Hyderabad | order#83752</t>
  </si>
  <si>
    <t>ORD-9775-B</t>
  </si>
  <si>
    <t>TKT0361</t>
  </si>
  <si>
    <t>john doe | laptop stand issue in Bangalore | order#32570</t>
  </si>
  <si>
    <t>ORD-3356-C</t>
  </si>
  <si>
    <t>TKT0362</t>
  </si>
  <si>
    <t>arun kumar | laptop stand issue in Delhi | order#72287</t>
  </si>
  <si>
    <t>ORD-1331-B</t>
  </si>
  <si>
    <t>TKT0363</t>
  </si>
  <si>
    <t>john doe | bluetooth speaker issue in Bangalore | order#27614</t>
  </si>
  <si>
    <t>ORD-8259-B</t>
  </si>
  <si>
    <t>TKT0364</t>
  </si>
  <si>
    <t>meena iyer | usb hub issue in Chennai | order#37707</t>
  </si>
  <si>
    <t>ORD-8937-C</t>
  </si>
  <si>
    <t>TKT0365</t>
  </si>
  <si>
    <t>arun kumar | usb hub issue in Mumbai | order#76426</t>
  </si>
  <si>
    <t>ORD-9589-C</t>
  </si>
  <si>
    <t>TKT0366</t>
  </si>
  <si>
    <t>priya sharma | gaming keyboard issue in Mumbai | order#14334</t>
  </si>
  <si>
    <t>ORD-6904-C</t>
  </si>
  <si>
    <t>TKT0367</t>
  </si>
  <si>
    <t>john doe | bluetooth speaker issue in Bangalore | order#93284</t>
  </si>
  <si>
    <t>ORD-1500-A</t>
  </si>
  <si>
    <t>TKT0368</t>
  </si>
  <si>
    <t>meena iyer | usb hub issue in Bangalore | order#86923</t>
  </si>
  <si>
    <t>ORD-6640-A</t>
  </si>
  <si>
    <t>TKT0369</t>
  </si>
  <si>
    <t>arun kumar | bluetooth speaker issue in Chennai | order#31352</t>
  </si>
  <si>
    <t>ORD-4626-C</t>
  </si>
  <si>
    <t>TKT0370</t>
  </si>
  <si>
    <t>priya sharma | bluetooth speaker issue in Bangalore | order#99417</t>
  </si>
  <si>
    <t>ORD-3167-C</t>
  </si>
  <si>
    <t>TKT0371</t>
  </si>
  <si>
    <t>rahul verma | wireless mouse issue in Mumbai | order#50037</t>
  </si>
  <si>
    <t>ORD-5511-B</t>
  </si>
  <si>
    <t>TKT0372</t>
  </si>
  <si>
    <t>john doe | laptop stand issue in Delhi | order#49602</t>
  </si>
  <si>
    <t>ORD-7506-C</t>
  </si>
  <si>
    <t>TKT0373</t>
  </si>
  <si>
    <t>arun kumar | usb hub issue in Delhi | order#99707</t>
  </si>
  <si>
    <t>ORD-2045-B</t>
  </si>
  <si>
    <t>TKT0374</t>
  </si>
  <si>
    <t>john doe | bluetooth speaker issue in Delhi | order#29651</t>
  </si>
  <si>
    <t>ORD-1930-C</t>
  </si>
  <si>
    <t>TKT0375</t>
  </si>
  <si>
    <t>john doe | gaming keyboard issue in Chennai | order#44003</t>
  </si>
  <si>
    <t>ORD-7361-C</t>
  </si>
  <si>
    <t>TKT0376</t>
  </si>
  <si>
    <t>rahul verma | usb hub issue in Mumbai | order#99957</t>
  </si>
  <si>
    <t>ORD-8794-C</t>
  </si>
  <si>
    <t>TKT0377</t>
  </si>
  <si>
    <t>rahul verma | bluetooth speaker issue in Mumbai | order#22793</t>
  </si>
  <si>
    <t>ORD-5237-C</t>
  </si>
  <si>
    <t>TKT0378</t>
  </si>
  <si>
    <t>john doe | wireless mouse issue in Mumbai | order#50250</t>
  </si>
  <si>
    <t>ORD-7089-B</t>
  </si>
  <si>
    <t>TKT0379</t>
  </si>
  <si>
    <t>meena iyer | wireless mouse issue in Bangalore | order#86490</t>
  </si>
  <si>
    <t>ORD-2166-B</t>
  </si>
  <si>
    <t>TKT0380</t>
  </si>
  <si>
    <t>rahul verma | wireless mouse issue in Bangalore | order#64146</t>
  </si>
  <si>
    <t>ORD-3250-A</t>
  </si>
  <si>
    <t>TKT0381</t>
  </si>
  <si>
    <t>meena iyer | usb hub issue in Bangalore | order#33639</t>
  </si>
  <si>
    <t>ORD-6449-C</t>
  </si>
  <si>
    <t>TKT0382</t>
  </si>
  <si>
    <t>john doe | wireless mouse issue in Chennai | order#37444</t>
  </si>
  <si>
    <t>ORD-3595-B</t>
  </si>
  <si>
    <t>TKT0383</t>
  </si>
  <si>
    <t>priya sharma | usb hub issue in Bangalore | order#66233</t>
  </si>
  <si>
    <t>ORD-1076-A</t>
  </si>
  <si>
    <t>TKT0384</t>
  </si>
  <si>
    <t>john doe | wireless mouse issue in Delhi | order#12348</t>
  </si>
  <si>
    <t>ORD-5076-A</t>
  </si>
  <si>
    <t>TKT0385</t>
  </si>
  <si>
    <t>john doe | gaming keyboard issue in Chennai | order#87158</t>
  </si>
  <si>
    <t>ORD-2069-A</t>
  </si>
  <si>
    <t>TKT0386</t>
  </si>
  <si>
    <t>john doe | laptop stand issue in Hyderabad | order#66841</t>
  </si>
  <si>
    <t>ORD-6615-B</t>
  </si>
  <si>
    <t>TKT0387</t>
  </si>
  <si>
    <t>priya sharma | gaming keyboard issue in Bangalore | order#39402</t>
  </si>
  <si>
    <t>ORD-4460-C</t>
  </si>
  <si>
    <t>TKT0388</t>
  </si>
  <si>
    <t>rahul verma | usb hub issue in Mumbai | order#95267</t>
  </si>
  <si>
    <t>ORD-5190-C</t>
  </si>
  <si>
    <t>TKT0389</t>
  </si>
  <si>
    <t>rahul verma | wireless mouse issue in Chennai | order#25176</t>
  </si>
  <si>
    <t>ORD-7230-A</t>
  </si>
  <si>
    <t>TKT0390</t>
  </si>
  <si>
    <t>meena iyer | gaming keyboard issue in Mumbai | order#65164</t>
  </si>
  <si>
    <t>ORD-9524-B</t>
  </si>
  <si>
    <t>TKT0391</t>
  </si>
  <si>
    <t>meena iyer | wireless mouse issue in Hyderabad | order#24943</t>
  </si>
  <si>
    <t>ORD-4254-C</t>
  </si>
  <si>
    <t>TKT0392</t>
  </si>
  <si>
    <t>john doe | usb hub issue in Mumbai | order#48712</t>
  </si>
  <si>
    <t>ORD-9980-B</t>
  </si>
  <si>
    <t>TKT0393</t>
  </si>
  <si>
    <t>meena iyer | bluetooth speaker issue in Mumbai | order#98032</t>
  </si>
  <si>
    <t>ORD-9095-A</t>
  </si>
  <si>
    <t>TKT0394</t>
  </si>
  <si>
    <t>rahul verma | wireless mouse issue in Chennai | order#40298</t>
  </si>
  <si>
    <t>ORD-5327-B</t>
  </si>
  <si>
    <t>TKT0395</t>
  </si>
  <si>
    <t>arun kumar | gaming keyboard issue in Chennai | order#98705</t>
  </si>
  <si>
    <t>ORD-2898-A</t>
  </si>
  <si>
    <t>TKT0396</t>
  </si>
  <si>
    <t>arun kumar | gaming keyboard issue in Mumbai | order#67372</t>
  </si>
  <si>
    <t>ORD-2522-B</t>
  </si>
  <si>
    <t>TKT0397</t>
  </si>
  <si>
    <t>priya sharma | wireless mouse issue in Bangalore | order#45629</t>
  </si>
  <si>
    <t>ORD-8835-B</t>
  </si>
  <si>
    <t>TKT0398</t>
  </si>
  <si>
    <t>arun kumar | gaming keyboard issue in Chennai | order#64529</t>
  </si>
  <si>
    <t>ORD-8178-A</t>
  </si>
  <si>
    <t>TKT0399</t>
  </si>
  <si>
    <t>john doe | usb hub issue in Chennai | order#73979</t>
  </si>
  <si>
    <t>ORD-8220-A</t>
  </si>
  <si>
    <t>TKT0400</t>
  </si>
  <si>
    <t>john doe | bluetooth speaker issue in Chennai | order#84057</t>
  </si>
  <si>
    <t>ORD-6542-C</t>
  </si>
  <si>
    <t>TKT0401</t>
  </si>
  <si>
    <t>meena iyer | gaming keyboard issue in Bangalore | order#60446</t>
  </si>
  <si>
    <t>TKT0402</t>
  </si>
  <si>
    <t>rahul verma | laptop stand issue in Bangalore | order#74441</t>
  </si>
  <si>
    <t>ORD-6421-B</t>
  </si>
  <si>
    <t>TKT0403</t>
  </si>
  <si>
    <t>rahul verma | gaming keyboard issue in Hyderabad | order#40801</t>
  </si>
  <si>
    <t>ORD-8277-C</t>
  </si>
  <si>
    <t>TKT0404</t>
  </si>
  <si>
    <t>arun kumar | laptop stand issue in Bangalore | order#75191</t>
  </si>
  <si>
    <t>ORD-1291-A</t>
  </si>
  <si>
    <t>TKT0405</t>
  </si>
  <si>
    <t>meena iyer | wireless mouse issue in Hyderabad | order#89194</t>
  </si>
  <si>
    <t>ORD-5990-C</t>
  </si>
  <si>
    <t>TKT0406</t>
  </si>
  <si>
    <t>meena iyer | bluetooth speaker issue in Delhi | order#69566</t>
  </si>
  <si>
    <t>ORD-8751-C</t>
  </si>
  <si>
    <t>TKT0407</t>
  </si>
  <si>
    <t>meena iyer | wireless mouse issue in Chennai | order#54742</t>
  </si>
  <si>
    <t>ORD-5783-C</t>
  </si>
  <si>
    <t>TKT0408</t>
  </si>
  <si>
    <t>arun kumar | wireless mouse issue in Mumbai | order#63636</t>
  </si>
  <si>
    <t>ORD-4209-A</t>
  </si>
  <si>
    <t>TKT0409</t>
  </si>
  <si>
    <t>meena iyer | gaming keyboard issue in Bangalore | order#24125</t>
  </si>
  <si>
    <t>ORD-3018-B</t>
  </si>
  <si>
    <t>TKT0410</t>
  </si>
  <si>
    <t>rahul verma | usb hub issue in Mumbai | order#79515</t>
  </si>
  <si>
    <t>ORD-8091-C</t>
  </si>
  <si>
    <t>TKT0411</t>
  </si>
  <si>
    <t>rahul verma | gaming keyboard issue in Hyderabad | order#23573</t>
  </si>
  <si>
    <t>ORD-6273-C</t>
  </si>
  <si>
    <t>TKT0412</t>
  </si>
  <si>
    <t>meena iyer | usb hub issue in Mumbai | order#54939</t>
  </si>
  <si>
    <t>ORD-3185-A</t>
  </si>
  <si>
    <t>TKT0413</t>
  </si>
  <si>
    <t>rahul verma | usb hub issue in Delhi | order#92913</t>
  </si>
  <si>
    <t>ORD-4435-C</t>
  </si>
  <si>
    <t>TKT0414</t>
  </si>
  <si>
    <t>john doe | gaming keyboard issue in Mumbai | order#93476</t>
  </si>
  <si>
    <t>ORD-2890-B</t>
  </si>
  <si>
    <t>TKT0415</t>
  </si>
  <si>
    <t>rahul verma | usb hub issue in Bangalore | order#65363</t>
  </si>
  <si>
    <t>ORD-2744-A</t>
  </si>
  <si>
    <t>TKT0416</t>
  </si>
  <si>
    <t>priya sharma | wireless mouse issue in Chennai | order#31094</t>
  </si>
  <si>
    <t>ORD-5105-A</t>
  </si>
  <si>
    <t>TKT0417</t>
  </si>
  <si>
    <t>john doe | gaming keyboard issue in Hyderabad | order#69322</t>
  </si>
  <si>
    <t>ORD-4675-C</t>
  </si>
  <si>
    <t>TKT0418</t>
  </si>
  <si>
    <t>priya sharma | usb hub issue in Delhi | order#60797</t>
  </si>
  <si>
    <t>ORD-6122-C</t>
  </si>
  <si>
    <t>TKT0419</t>
  </si>
  <si>
    <t>arun kumar | bluetooth speaker issue in Mumbai | order#93071</t>
  </si>
  <si>
    <t>ORD-7025-C</t>
  </si>
  <si>
    <t>TKT0420</t>
  </si>
  <si>
    <t>priya sharma | bluetooth speaker issue in Bangalore | order#34507</t>
  </si>
  <si>
    <t>ORD-9418-A</t>
  </si>
  <si>
    <t>TKT0421</t>
  </si>
  <si>
    <t>arun kumar | laptop stand issue in Delhi | order#31093</t>
  </si>
  <si>
    <t>ORD-1092-B</t>
  </si>
  <si>
    <t>TKT0422</t>
  </si>
  <si>
    <t>priya sharma | wireless mouse issue in Mumbai | order#16665</t>
  </si>
  <si>
    <t>ORD-5934-B</t>
  </si>
  <si>
    <t>TKT0423</t>
  </si>
  <si>
    <t>arun kumar | bluetooth speaker issue in Hyderabad | order#78236</t>
  </si>
  <si>
    <t>ORD-3611-B</t>
  </si>
  <si>
    <t>TKT0424</t>
  </si>
  <si>
    <t>arun kumar | bluetooth speaker issue in Mumbai | order#53393</t>
  </si>
  <si>
    <t>ORD-4579-C</t>
  </si>
  <si>
    <t>TKT0425</t>
  </si>
  <si>
    <t>rahul verma | wireless mouse issue in Chennai | order#41502</t>
  </si>
  <si>
    <t>ORD-4994-A</t>
  </si>
  <si>
    <t>TKT0426</t>
  </si>
  <si>
    <t>meena iyer | wireless mouse issue in Bangalore | order#47070</t>
  </si>
  <si>
    <t>ORD-7143-C</t>
  </si>
  <si>
    <t>TKT0427</t>
  </si>
  <si>
    <t>meena iyer | wireless mouse issue in Delhi | order#77357</t>
  </si>
  <si>
    <t>ORD-3742-C</t>
  </si>
  <si>
    <t>TKT0428</t>
  </si>
  <si>
    <t>arun kumar | gaming keyboard issue in Mumbai | order#36945</t>
  </si>
  <si>
    <t>ORD-8130-C</t>
  </si>
  <si>
    <t>TKT0429</t>
  </si>
  <si>
    <t>priya sharma | wireless mouse issue in Bangalore | order#21471</t>
  </si>
  <si>
    <t>ORD-3916-B</t>
  </si>
  <si>
    <t>TKT0430</t>
  </si>
  <si>
    <t>rahul verma | gaming keyboard issue in Delhi | order#69129</t>
  </si>
  <si>
    <t>ORD-8094-B</t>
  </si>
  <si>
    <t>TKT0431</t>
  </si>
  <si>
    <t>meena iyer | wireless mouse issue in Hyderabad | order#91048</t>
  </si>
  <si>
    <t>ORD-1745-C</t>
  </si>
  <si>
    <t>TKT0432</t>
  </si>
  <si>
    <t>john doe | usb hub issue in Chennai | order#89503</t>
  </si>
  <si>
    <t>ORD-8170-B</t>
  </si>
  <si>
    <t>TKT0433</t>
  </si>
  <si>
    <t>arun kumar | laptop stand issue in Mumbai | order#27875</t>
  </si>
  <si>
    <t>ORD-9941-B</t>
  </si>
  <si>
    <t>TKT0434</t>
  </si>
  <si>
    <t>john doe | bluetooth speaker issue in Chennai | order#15475</t>
  </si>
  <si>
    <t>ORD-7456-C</t>
  </si>
  <si>
    <t>TKT0435</t>
  </si>
  <si>
    <t>john doe | gaming keyboard issue in Delhi | order#94663</t>
  </si>
  <si>
    <t>ORD-3637-A</t>
  </si>
  <si>
    <t>TKT0436</t>
  </si>
  <si>
    <t>rahul verma | bluetooth speaker issue in Mumbai | order#97946</t>
  </si>
  <si>
    <t>ORD-9992-B</t>
  </si>
  <si>
    <t>TKT0437</t>
  </si>
  <si>
    <t>john doe | wireless mouse issue in Delhi | order#86099</t>
  </si>
  <si>
    <t>ORD-6851-A</t>
  </si>
  <si>
    <t>TKT0438</t>
  </si>
  <si>
    <t>arun kumar | bluetooth speaker issue in Hyderabad | order#51652</t>
  </si>
  <si>
    <t>ORD-6379-C</t>
  </si>
  <si>
    <t>TKT0439</t>
  </si>
  <si>
    <t>rahul verma | gaming keyboard issue in Hyderabad | order#66139</t>
  </si>
  <si>
    <t>ORD-6131-A</t>
  </si>
  <si>
    <t>TKT0440</t>
  </si>
  <si>
    <t>meena iyer | bluetooth speaker issue in Delhi | order#72908</t>
  </si>
  <si>
    <t>ORD-6877-B</t>
  </si>
  <si>
    <t>TKT0441</t>
  </si>
  <si>
    <t>rahul verma | wireless mouse issue in Mumbai | order#28350</t>
  </si>
  <si>
    <t>ORD-5312-C</t>
  </si>
  <si>
    <t>TKT0442</t>
  </si>
  <si>
    <t>arun kumar | wireless mouse issue in Hyderabad | order#85877</t>
  </si>
  <si>
    <t>ORD-4485-A</t>
  </si>
  <si>
    <t>TKT0443</t>
  </si>
  <si>
    <t>rahul verma | usb hub issue in Bangalore | order#61445</t>
  </si>
  <si>
    <t>ORD-5767-A</t>
  </si>
  <si>
    <t>TKT0444</t>
  </si>
  <si>
    <t>rahul verma | usb hub issue in Chennai | order#75820</t>
  </si>
  <si>
    <t>ORD-4913-C</t>
  </si>
  <si>
    <t>TKT0445</t>
  </si>
  <si>
    <t>rahul verma | gaming keyboard issue in Bangalore | order#84233</t>
  </si>
  <si>
    <t>ORD-3395-C</t>
  </si>
  <si>
    <t>TKT0446</t>
  </si>
  <si>
    <t>john doe | wireless mouse issue in Mumbai | order#18239</t>
  </si>
  <si>
    <t>ORD-4834-A</t>
  </si>
  <si>
    <t>TKT0447</t>
  </si>
  <si>
    <t>rahul verma | bluetooth speaker issue in Bangalore | order#16086</t>
  </si>
  <si>
    <t>ORD-6309-A</t>
  </si>
  <si>
    <t>TKT0448</t>
  </si>
  <si>
    <t>john doe | usb hub issue in Hyderabad | order#95678</t>
  </si>
  <si>
    <t>ORD-2275-C</t>
  </si>
  <si>
    <t>TKT0449</t>
  </si>
  <si>
    <t>meena iyer | gaming keyboard issue in Hyderabad | order#55224</t>
  </si>
  <si>
    <t>ORD-1108-C</t>
  </si>
  <si>
    <t>TKT0450</t>
  </si>
  <si>
    <t>meena iyer | gaming keyboard issue in Mumbai | order#94341</t>
  </si>
  <si>
    <t>ORD-3461-A</t>
  </si>
  <si>
    <t>TKT0451</t>
  </si>
  <si>
    <t>john doe | usb hub issue in Chennai | order#53283</t>
  </si>
  <si>
    <t>ORD-8889-C</t>
  </si>
  <si>
    <t>TKT0452</t>
  </si>
  <si>
    <t>meena iyer | gaming keyboard issue in Hyderabad | order#63857</t>
  </si>
  <si>
    <t>ORD-1706-A</t>
  </si>
  <si>
    <t>TKT0453</t>
  </si>
  <si>
    <t>priya sharma | usb hub issue in Chennai | order#31802</t>
  </si>
  <si>
    <t>ORD-9464-B</t>
  </si>
  <si>
    <t>TKT0454</t>
  </si>
  <si>
    <t>john doe | wireless mouse issue in Mumbai | order#71789</t>
  </si>
  <si>
    <t>ORD-4594-B</t>
  </si>
  <si>
    <t>TKT0455</t>
  </si>
  <si>
    <t>rahul verma | gaming keyboard issue in Hyderabad | order#31983</t>
  </si>
  <si>
    <t>ORD-6614-B</t>
  </si>
  <si>
    <t>TKT0456</t>
  </si>
  <si>
    <t>priya sharma | laptop stand issue in Bangalore | order#12170</t>
  </si>
  <si>
    <t>ORD-9263-C</t>
  </si>
  <si>
    <t>TKT0457</t>
  </si>
  <si>
    <t>priya sharma | usb hub issue in Chennai | order#90576</t>
  </si>
  <si>
    <t>ORD-9706-C</t>
  </si>
  <si>
    <t>TKT0458</t>
  </si>
  <si>
    <t>arun kumar | laptop stand issue in Mumbai | order#66557</t>
  </si>
  <si>
    <t>ORD-7068-A</t>
  </si>
  <si>
    <t>TKT0459</t>
  </si>
  <si>
    <t>priya sharma | laptop stand issue in Bangalore | order#85513</t>
  </si>
  <si>
    <t>ORD-3193-B</t>
  </si>
  <si>
    <t>TKT0460</t>
  </si>
  <si>
    <t>priya sharma | wireless mouse issue in Delhi | order#34775</t>
  </si>
  <si>
    <t>ORD-1116-C</t>
  </si>
  <si>
    <t>TKT0461</t>
  </si>
  <si>
    <t>rahul verma | wireless mouse issue in Bangalore | order#63588</t>
  </si>
  <si>
    <t>ORD-3535-B</t>
  </si>
  <si>
    <t>TKT0462</t>
  </si>
  <si>
    <t>john doe | usb hub issue in Bangalore | order#46118</t>
  </si>
  <si>
    <t>ORD-4337-B</t>
  </si>
  <si>
    <t>TKT0463</t>
  </si>
  <si>
    <t>priya sharma | bluetooth speaker issue in Hyderabad | order#50193</t>
  </si>
  <si>
    <t>ORD-7522-C</t>
  </si>
  <si>
    <t>TKT0464</t>
  </si>
  <si>
    <t>arun kumar | gaming keyboard issue in Bangalore | order#38109</t>
  </si>
  <si>
    <t>ORD-6544-C</t>
  </si>
  <si>
    <t>TKT0465</t>
  </si>
  <si>
    <t>priya sharma | laptop stand issue in Chennai | order#71822</t>
  </si>
  <si>
    <t>ORD-2444-A</t>
  </si>
  <si>
    <t>TKT0466</t>
  </si>
  <si>
    <t>priya sharma | bluetooth speaker issue in Chennai | order#62513</t>
  </si>
  <si>
    <t>ORD-9536-B</t>
  </si>
  <si>
    <t>TKT0467</t>
  </si>
  <si>
    <t>priya sharma | laptop stand issue in Bangalore | order#96099</t>
  </si>
  <si>
    <t>ORD-4190-A</t>
  </si>
  <si>
    <t>TKT0468</t>
  </si>
  <si>
    <t>rahul verma | gaming keyboard issue in Chennai | order#95854</t>
  </si>
  <si>
    <t>ORD-2422-B</t>
  </si>
  <si>
    <t>TKT0469</t>
  </si>
  <si>
    <t>john doe | laptop stand issue in Bangalore | order#12014</t>
  </si>
  <si>
    <t>ORD-2124-A</t>
  </si>
  <si>
    <t>TKT0470</t>
  </si>
  <si>
    <t>rahul verma | usb hub issue in Delhi | order#39661</t>
  </si>
  <si>
    <t>ORD-8450-B</t>
  </si>
  <si>
    <t>TKT0471</t>
  </si>
  <si>
    <t>john doe | gaming keyboard issue in Bangalore | order#83220</t>
  </si>
  <si>
    <t>ORD-5821-B</t>
  </si>
  <si>
    <t>TKT0472</t>
  </si>
  <si>
    <t>rahul verma | bluetooth speaker issue in Hyderabad | order#59424</t>
  </si>
  <si>
    <t>ORD-4985-B</t>
  </si>
  <si>
    <t>TKT0473</t>
  </si>
  <si>
    <t>meena iyer | usb hub issue in Chennai | order#43792</t>
  </si>
  <si>
    <t>ORD-4610-C</t>
  </si>
  <si>
    <t>TKT0474</t>
  </si>
  <si>
    <t>john doe | laptop stand issue in Delhi | order#11274</t>
  </si>
  <si>
    <t>ORD-5067-B</t>
  </si>
  <si>
    <t>TKT0475</t>
  </si>
  <si>
    <t>meena iyer | bluetooth speaker issue in Chennai | order#51139</t>
  </si>
  <si>
    <t>ORD-5408-A</t>
  </si>
  <si>
    <t>TKT0476</t>
  </si>
  <si>
    <t>meena iyer | gaming keyboard issue in Mumbai | order#37102</t>
  </si>
  <si>
    <t>ORD-5091-C</t>
  </si>
  <si>
    <t>TKT0477</t>
  </si>
  <si>
    <t>priya sharma | wireless mouse issue in Chennai | order#90455</t>
  </si>
  <si>
    <t>ORD-1692-B</t>
  </si>
  <si>
    <t>TKT0478</t>
  </si>
  <si>
    <t>rahul verma | bluetooth speaker issue in Bangalore | order#33969</t>
  </si>
  <si>
    <t>ORD-7518-A</t>
  </si>
  <si>
    <t>TKT0479</t>
  </si>
  <si>
    <t>arun kumar | usb hub issue in Bangalore | order#14268</t>
  </si>
  <si>
    <t>ORD-7450-C</t>
  </si>
  <si>
    <t>TKT0480</t>
  </si>
  <si>
    <t>meena iyer | wireless mouse issue in Hyderabad | order#11103</t>
  </si>
  <si>
    <t>ORD-4452-B</t>
  </si>
  <si>
    <t>TKT0481</t>
  </si>
  <si>
    <t>john doe | bluetooth speaker issue in Hyderabad | order#81901</t>
  </si>
  <si>
    <t>ORD-5413-B</t>
  </si>
  <si>
    <t>TKT0482</t>
  </si>
  <si>
    <t>john doe | gaming keyboard issue in Bangalore | order#64931</t>
  </si>
  <si>
    <t>ORD-6981-B</t>
  </si>
  <si>
    <t>TKT0483</t>
  </si>
  <si>
    <t>meena iyer | gaming keyboard issue in Hyderabad | order#99916</t>
  </si>
  <si>
    <t>ORD-5422-A</t>
  </si>
  <si>
    <t>TKT0484</t>
  </si>
  <si>
    <t>meena iyer | gaming keyboard issue in Mumbai | order#11276</t>
  </si>
  <si>
    <t>ORD-9185-A</t>
  </si>
  <si>
    <t>TKT0485</t>
  </si>
  <si>
    <t>meena iyer | bluetooth speaker issue in Delhi | order#22972</t>
  </si>
  <si>
    <t>ORD-1983-A</t>
  </si>
  <si>
    <t>TKT0486</t>
  </si>
  <si>
    <t>meena iyer | wireless mouse issue in Bangalore | order#57312</t>
  </si>
  <si>
    <t>ORD-5222-B</t>
  </si>
  <si>
    <t>TKT0487</t>
  </si>
  <si>
    <t>meena iyer | wireless mouse issue in Delhi | order#85483</t>
  </si>
  <si>
    <t>ORD-9821-A</t>
  </si>
  <si>
    <t>TKT0488</t>
  </si>
  <si>
    <t>john doe | bluetooth speaker issue in Hyderabad | order#20277</t>
  </si>
  <si>
    <t>ORD-5694-B</t>
  </si>
  <si>
    <t>TKT0489</t>
  </si>
  <si>
    <t>priya sharma | bluetooth speaker issue in Bangalore | order#20369</t>
  </si>
  <si>
    <t>ORD-4739-B</t>
  </si>
  <si>
    <t>TKT0490</t>
  </si>
  <si>
    <t>john doe | bluetooth speaker issue in Hyderabad | order#68313</t>
  </si>
  <si>
    <t>ORD-9535-B</t>
  </si>
  <si>
    <t>TKT0491</t>
  </si>
  <si>
    <t>priya sharma | gaming keyboard issue in Chennai | order#96772</t>
  </si>
  <si>
    <t>ORD-2311-A</t>
  </si>
  <si>
    <t>TKT0492</t>
  </si>
  <si>
    <t>meena iyer | wireless mouse issue in Chennai | order#81884</t>
  </si>
  <si>
    <t>ORD-7504-C</t>
  </si>
  <si>
    <t>TKT0493</t>
  </si>
  <si>
    <t>arun kumar | bluetooth speaker issue in Hyderabad | order#95830</t>
  </si>
  <si>
    <t>ORD-4757-A</t>
  </si>
  <si>
    <t>TKT0494</t>
  </si>
  <si>
    <t>meena iyer | gaming keyboard issue in Mumbai | order#13744</t>
  </si>
  <si>
    <t>ORD-6846-B</t>
  </si>
  <si>
    <t>TKT0495</t>
  </si>
  <si>
    <t>meena iyer | usb hub issue in Delhi | order#80685</t>
  </si>
  <si>
    <t>ORD-8480-C</t>
  </si>
  <si>
    <t>TKT0496</t>
  </si>
  <si>
    <t>rahul verma | usb hub issue in Delhi | order#80735</t>
  </si>
  <si>
    <t>ORD-8239-B</t>
  </si>
  <si>
    <t>TKT0497</t>
  </si>
  <si>
    <t>meena iyer | bluetooth speaker issue in Mumbai | order#10012</t>
  </si>
  <si>
    <t>ORD-6634-B</t>
  </si>
  <si>
    <t>TKT0498</t>
  </si>
  <si>
    <t>rahul verma | wireless mouse issue in Bangalore | order#11197</t>
  </si>
  <si>
    <t>ORD-4788-A</t>
  </si>
  <si>
    <t>TKT0499</t>
  </si>
  <si>
    <t>priya sharma | laptop stand issue in Hyderabad | order#42754</t>
  </si>
  <si>
    <t>ORD-7385-B</t>
  </si>
  <si>
    <t>TKT0500</t>
  </si>
  <si>
    <t>john doe | wireless mouse issue in Bangalore | order#90375</t>
  </si>
  <si>
    <t>ORD-5454-B</t>
  </si>
  <si>
    <t>TKT0501</t>
  </si>
  <si>
    <t>meena iyer | gaming keyboard issue in Chennai | order#47957</t>
  </si>
  <si>
    <t>ORD-8460-C</t>
  </si>
  <si>
    <t>TKT0502</t>
  </si>
  <si>
    <t>john doe | usb hub issue in Bangalore | order#12542</t>
  </si>
  <si>
    <t>ORD-9764-A</t>
  </si>
  <si>
    <t>TKT0503</t>
  </si>
  <si>
    <t>arun kumar | bluetooth speaker issue in Delhi | order#11075</t>
  </si>
  <si>
    <t>ORD-3468-A</t>
  </si>
  <si>
    <t>TKT0504</t>
  </si>
  <si>
    <t>priya sharma | bluetooth speaker issue in Bangalore | order#58679</t>
  </si>
  <si>
    <t>ORD-1519-B</t>
  </si>
  <si>
    <t>TKT0505</t>
  </si>
  <si>
    <t>priya sharma | wireless mouse issue in Delhi | order#81197</t>
  </si>
  <si>
    <t>ORD-4148-B</t>
  </si>
  <si>
    <t>TKT0506</t>
  </si>
  <si>
    <t>arun kumar | wireless mouse issue in Mumbai | order#42396</t>
  </si>
  <si>
    <t>ORD-4263-B</t>
  </si>
  <si>
    <t>TKT0507</t>
  </si>
  <si>
    <t>rahul verma | gaming keyboard issue in Bangalore | order#52344</t>
  </si>
  <si>
    <t>ORD-1691-C</t>
  </si>
  <si>
    <t>TKT0508</t>
  </si>
  <si>
    <t>john doe | laptop stand issue in Delhi | order#16827</t>
  </si>
  <si>
    <t>ORD-2850-A</t>
  </si>
  <si>
    <t>TKT0509</t>
  </si>
  <si>
    <t>john doe | wireless mouse issue in Mumbai | order#25682</t>
  </si>
  <si>
    <t>ORD-1146-A</t>
  </si>
  <si>
    <t>TKT0510</t>
  </si>
  <si>
    <t>rahul verma | gaming keyboard issue in Delhi | order#30669</t>
  </si>
  <si>
    <t>TKT0511</t>
  </si>
  <si>
    <t>arun kumar | bluetooth speaker issue in Mumbai | order#73942</t>
  </si>
  <si>
    <t>ORD-6690-B</t>
  </si>
  <si>
    <t>TKT0512</t>
  </si>
  <si>
    <t>arun kumar | laptop stand issue in Delhi | order#15175</t>
  </si>
  <si>
    <t>ORD-8168-C</t>
  </si>
  <si>
    <t>TKT0513</t>
  </si>
  <si>
    <t>rahul verma | laptop stand issue in Mumbai | order#55569</t>
  </si>
  <si>
    <t>ORD-8674-B</t>
  </si>
  <si>
    <t>TKT0514</t>
  </si>
  <si>
    <t>arun kumar | usb hub issue in Mumbai | order#44517</t>
  </si>
  <si>
    <t>ORD-8439-A</t>
  </si>
  <si>
    <t>TKT0515</t>
  </si>
  <si>
    <t>priya sharma | wireless mouse issue in Hyderabad | order#41298</t>
  </si>
  <si>
    <t>ORD-2037-C</t>
  </si>
  <si>
    <t>TKT0516</t>
  </si>
  <si>
    <t>priya sharma | usb hub issue in Bangalore | order#47110</t>
  </si>
  <si>
    <t>ORD-6276-A</t>
  </si>
  <si>
    <t>TKT0517</t>
  </si>
  <si>
    <t>rahul verma | wireless mouse issue in Chennai | order#14099</t>
  </si>
  <si>
    <t>ORD-8952-A</t>
  </si>
  <si>
    <t>TKT0518</t>
  </si>
  <si>
    <t>arun kumar | usb hub issue in Bangalore | order#91785</t>
  </si>
  <si>
    <t>ORD-5193-A</t>
  </si>
  <si>
    <t>TKT0519</t>
  </si>
  <si>
    <t>priya sharma | usb hub issue in Chennai | order#95950</t>
  </si>
  <si>
    <t>ORD-8668-C</t>
  </si>
  <si>
    <t>TKT0520</t>
  </si>
  <si>
    <t>john doe | usb hub issue in Bangalore | order#90862</t>
  </si>
  <si>
    <t>ORD-1666-C</t>
  </si>
  <si>
    <t>TKT0521</t>
  </si>
  <si>
    <t>john doe | wireless mouse issue in Mumbai | order#23267</t>
  </si>
  <si>
    <t>ORD-9710-B</t>
  </si>
  <si>
    <t>TKT0522</t>
  </si>
  <si>
    <t>priya sharma | usb hub issue in Mumbai | order#83156</t>
  </si>
  <si>
    <t>ORD-2728-C</t>
  </si>
  <si>
    <t>TKT0523</t>
  </si>
  <si>
    <t>meena iyer | laptop stand issue in Chennai | order#82085</t>
  </si>
  <si>
    <t>ORD-6529-C</t>
  </si>
  <si>
    <t>TKT0524</t>
  </si>
  <si>
    <t>rahul verma | usb hub issue in Bangalore | order#82100</t>
  </si>
  <si>
    <t>ORD-7755-C</t>
  </si>
  <si>
    <t>TKT0525</t>
  </si>
  <si>
    <t>john doe | usb hub issue in Mumbai | order#82120</t>
  </si>
  <si>
    <t>ORD-6898-B</t>
  </si>
  <si>
    <t>TKT0526</t>
  </si>
  <si>
    <t>meena iyer | wireless mouse issue in Chennai | order#12136</t>
  </si>
  <si>
    <t>ORD-5945-A</t>
  </si>
  <si>
    <t>TKT0527</t>
  </si>
  <si>
    <t>priya sharma | gaming keyboard issue in Delhi | order#82569</t>
  </si>
  <si>
    <t>ORD-3534-A</t>
  </si>
  <si>
    <t>TKT0528</t>
  </si>
  <si>
    <t>meena iyer | bluetooth speaker issue in Mumbai | order#58114</t>
  </si>
  <si>
    <t>TKT0529</t>
  </si>
  <si>
    <t>arun kumar | usb hub issue in Bangalore | order#52558</t>
  </si>
  <si>
    <t>ORD-8999-C</t>
  </si>
  <si>
    <t>TKT0530</t>
  </si>
  <si>
    <t>rahul verma | bluetooth speaker issue in Chennai | order#17329</t>
  </si>
  <si>
    <t>ORD-8115-B</t>
  </si>
  <si>
    <t>TKT0531</t>
  </si>
  <si>
    <t>priya sharma | usb hub issue in Chennai | order#49948</t>
  </si>
  <si>
    <t>ORD-6231-C</t>
  </si>
  <si>
    <t>TKT0532</t>
  </si>
  <si>
    <t>john doe | usb hub issue in Mumbai | order#98294</t>
  </si>
  <si>
    <t>ORD-8300-C</t>
  </si>
  <si>
    <t>TKT0533</t>
  </si>
  <si>
    <t>priya sharma | laptop stand issue in Delhi | order#27326</t>
  </si>
  <si>
    <t>ORD-8796-C</t>
  </si>
  <si>
    <t>TKT0534</t>
  </si>
  <si>
    <t>rahul verma | laptop stand issue in Delhi | order#75774</t>
  </si>
  <si>
    <t>ORD-3136-A</t>
  </si>
  <si>
    <t>TKT0535</t>
  </si>
  <si>
    <t>rahul verma | gaming keyboard issue in Bangalore | order#84885</t>
  </si>
  <si>
    <t>ORD-9589-A</t>
  </si>
  <si>
    <t>TKT0536</t>
  </si>
  <si>
    <t>arun kumar | bluetooth speaker issue in Bangalore | order#21743</t>
  </si>
  <si>
    <t>ORD-7776-B</t>
  </si>
  <si>
    <t>TKT0537</t>
  </si>
  <si>
    <t>john doe | gaming keyboard issue in Delhi | order#95905</t>
  </si>
  <si>
    <t>ORD-3773-B</t>
  </si>
  <si>
    <t>TKT0538</t>
  </si>
  <si>
    <t>rahul verma | gaming keyboard issue in Bangalore | order#36173</t>
  </si>
  <si>
    <t>ORD-3555-C</t>
  </si>
  <si>
    <t>TKT0539</t>
  </si>
  <si>
    <t>arun kumar | wireless mouse issue in Mumbai | order#11800</t>
  </si>
  <si>
    <t>ORD-2823-B</t>
  </si>
  <si>
    <t>TKT0540</t>
  </si>
  <si>
    <t>meena iyer | wireless mouse issue in Delhi | order#37770</t>
  </si>
  <si>
    <t>ORD-9573-B</t>
  </si>
  <si>
    <t>TKT0541</t>
  </si>
  <si>
    <t>rahul verma | gaming keyboard issue in Chennai | order#96969</t>
  </si>
  <si>
    <t>ORD-5185-A</t>
  </si>
  <si>
    <t>TKT0542</t>
  </si>
  <si>
    <t>john doe | gaming keyboard issue in Hyderabad | order#70943</t>
  </si>
  <si>
    <t>ORD-2091-B</t>
  </si>
  <si>
    <t>TKT0543</t>
  </si>
  <si>
    <t>john doe | wireless mouse issue in Chennai | order#60662</t>
  </si>
  <si>
    <t>ORD-9331-C</t>
  </si>
  <si>
    <t>TKT0544</t>
  </si>
  <si>
    <t>john doe | laptop stand issue in Hyderabad | order#34434</t>
  </si>
  <si>
    <t>ORD-8503-C</t>
  </si>
  <si>
    <t>TKT0545</t>
  </si>
  <si>
    <t>arun kumar | gaming keyboard issue in Hyderabad | order#74216</t>
  </si>
  <si>
    <t>ORD-3572-A</t>
  </si>
  <si>
    <t>TKT0546</t>
  </si>
  <si>
    <t>john doe | bluetooth speaker issue in Delhi | order#46159</t>
  </si>
  <si>
    <t>ORD-5221-B</t>
  </si>
  <si>
    <t>TKT0547</t>
  </si>
  <si>
    <t>rahul verma | bluetooth speaker issue in Mumbai | order#61491</t>
  </si>
  <si>
    <t>ORD-2438-C</t>
  </si>
  <si>
    <t>TKT0548</t>
  </si>
  <si>
    <t>rahul verma | usb hub issue in Mumbai | order#85090</t>
  </si>
  <si>
    <t>ORD-6118-C</t>
  </si>
  <si>
    <t>TKT0549</t>
  </si>
  <si>
    <t>meena iyer | usb hub issue in Mumbai | order#28163</t>
  </si>
  <si>
    <t>ORD-4314-A</t>
  </si>
  <si>
    <t>TKT0550</t>
  </si>
  <si>
    <t>rahul verma | gaming keyboard issue in Bangalore | order#84035</t>
  </si>
  <si>
    <t>ORD-2111-C</t>
  </si>
  <si>
    <t>TKT0551</t>
  </si>
  <si>
    <t>priya sharma | bluetooth speaker issue in Mumbai | order#64269</t>
  </si>
  <si>
    <t>ORD-8258-C</t>
  </si>
  <si>
    <t>TKT0552</t>
  </si>
  <si>
    <t>priya sharma | gaming keyboard issue in Chennai | order#13433</t>
  </si>
  <si>
    <t>ORD-5372-C</t>
  </si>
  <si>
    <t>TKT0553</t>
  </si>
  <si>
    <t>rahul verma | gaming keyboard issue in Mumbai | order#20417</t>
  </si>
  <si>
    <t>ORD-3196-C</t>
  </si>
  <si>
    <t>TKT0554</t>
  </si>
  <si>
    <t>john doe | gaming keyboard issue in Bangalore | order#28024</t>
  </si>
  <si>
    <t>ORD-4707-A</t>
  </si>
  <si>
    <t>TKT0555</t>
  </si>
  <si>
    <t>arun kumar | bluetooth speaker issue in Bangalore | order#36812</t>
  </si>
  <si>
    <t>ORD-8197-C</t>
  </si>
  <si>
    <t>TKT0556</t>
  </si>
  <si>
    <t>john doe | laptop stand issue in Mumbai | order#15482</t>
  </si>
  <si>
    <t>ORD-7232-C</t>
  </si>
  <si>
    <t>TKT0557</t>
  </si>
  <si>
    <t>meena iyer | usb hub issue in Hyderabad | order#15047</t>
  </si>
  <si>
    <t>ORD-8399-B</t>
  </si>
  <si>
    <t>TKT0558</t>
  </si>
  <si>
    <t>priya sharma | usb hub issue in Hyderabad | order#83098</t>
  </si>
  <si>
    <t>ORD-1807-A</t>
  </si>
  <si>
    <t>TKT0559</t>
  </si>
  <si>
    <t>meena iyer | laptop stand issue in Delhi | order#31821</t>
  </si>
  <si>
    <t>ORD-1893-C</t>
  </si>
  <si>
    <t>TKT0560</t>
  </si>
  <si>
    <t>meena iyer | laptop stand issue in Chennai | order#33562</t>
  </si>
  <si>
    <t>ORD-9952-A</t>
  </si>
  <si>
    <t>TKT0561</t>
  </si>
  <si>
    <t>meena iyer | bluetooth speaker issue in Bangalore | order#69464</t>
  </si>
  <si>
    <t>ORD-4308-B</t>
  </si>
  <si>
    <t>TKT0562</t>
  </si>
  <si>
    <t>john doe | bluetooth speaker issue in Mumbai | order#24963</t>
  </si>
  <si>
    <t>ORD-6946-A</t>
  </si>
  <si>
    <t>TKT0563</t>
  </si>
  <si>
    <t>rahul verma | usb hub issue in Mumbai | order#59886</t>
  </si>
  <si>
    <t>ORD-6491-C</t>
  </si>
  <si>
    <t>TKT0564</t>
  </si>
  <si>
    <t>priya sharma | gaming keyboard issue in Mumbai | order#50378</t>
  </si>
  <si>
    <t>ORD-8311-B</t>
  </si>
  <si>
    <t>TKT0565</t>
  </si>
  <si>
    <t>arun kumar | gaming keyboard issue in Mumbai | order#43175</t>
  </si>
  <si>
    <t>ORD-9153-B</t>
  </si>
  <si>
    <t>TKT0566</t>
  </si>
  <si>
    <t>rahul verma | laptop stand issue in Mumbai | order#96438</t>
  </si>
  <si>
    <t>ORD-7719-B</t>
  </si>
  <si>
    <t>TKT0567</t>
  </si>
  <si>
    <t>rahul verma | usb hub issue in Chennai | order#46452</t>
  </si>
  <si>
    <t>ORD-4401-A</t>
  </si>
  <si>
    <t>TKT0568</t>
  </si>
  <si>
    <t>priya sharma | wireless mouse issue in Delhi | order#14250</t>
  </si>
  <si>
    <t>ORD-5889-B</t>
  </si>
  <si>
    <t>TKT0569</t>
  </si>
  <si>
    <t>arun kumar | wireless mouse issue in Bangalore | order#98092</t>
  </si>
  <si>
    <t>ORD-3906-B</t>
  </si>
  <si>
    <t>TKT0570</t>
  </si>
  <si>
    <t>arun kumar | wireless mouse issue in Delhi | order#59668</t>
  </si>
  <si>
    <t>ORD-2063-B</t>
  </si>
  <si>
    <t>TKT0571</t>
  </si>
  <si>
    <t>priya sharma | wireless mouse issue in Delhi | order#64232</t>
  </si>
  <si>
    <t>ORD-4425-C</t>
  </si>
  <si>
    <t>TKT0572</t>
  </si>
  <si>
    <t>arun kumar | usb hub issue in Hyderabad | order#89269</t>
  </si>
  <si>
    <t>ORD-7996-C</t>
  </si>
  <si>
    <t>TKT0573</t>
  </si>
  <si>
    <t>john doe | usb hub issue in Hyderabad | order#90516</t>
  </si>
  <si>
    <t>ORD-9514-C</t>
  </si>
  <si>
    <t>TKT0574</t>
  </si>
  <si>
    <t>meena iyer | gaming keyboard issue in Hyderabad | order#35369</t>
  </si>
  <si>
    <t>ORD-1392-B</t>
  </si>
  <si>
    <t>TKT0575</t>
  </si>
  <si>
    <t>priya sharma | usb hub issue in Bangalore | order#53750</t>
  </si>
  <si>
    <t>ORD-4478-A</t>
  </si>
  <si>
    <t>TKT0576</t>
  </si>
  <si>
    <t>john doe | bluetooth speaker issue in Chennai | order#76412</t>
  </si>
  <si>
    <t>TKT0577</t>
  </si>
  <si>
    <t>john doe | laptop stand issue in Hyderabad | order#35430</t>
  </si>
  <si>
    <t>ORD-8849-B</t>
  </si>
  <si>
    <t>TKT0578</t>
  </si>
  <si>
    <t>priya sharma | laptop stand issue in Mumbai | order#53923</t>
  </si>
  <si>
    <t>ORD-1917-C</t>
  </si>
  <si>
    <t>TKT0579</t>
  </si>
  <si>
    <t>rahul verma | bluetooth speaker issue in Hyderabad | order#85680</t>
  </si>
  <si>
    <t>ORD-6793-A</t>
  </si>
  <si>
    <t>TKT0580</t>
  </si>
  <si>
    <t>john doe | wireless mouse issue in Delhi | order#80028</t>
  </si>
  <si>
    <t>ORD-7382-A</t>
  </si>
  <si>
    <t>TKT0581</t>
  </si>
  <si>
    <t>john doe | bluetooth speaker issue in Chennai | order#21376</t>
  </si>
  <si>
    <t>ORD-7088-B</t>
  </si>
  <si>
    <t>TKT0582</t>
  </si>
  <si>
    <t>priya sharma | usb hub issue in Delhi | order#59049</t>
  </si>
  <si>
    <t>ORD-2517-B</t>
  </si>
  <si>
    <t>TKT0583</t>
  </si>
  <si>
    <t>meena iyer | usb hub issue in Mumbai | order#73369</t>
  </si>
  <si>
    <t>ORD-6084-B</t>
  </si>
  <si>
    <t>TKT0584</t>
  </si>
  <si>
    <t>arun kumar | usb hub issue in Mumbai | order#70210</t>
  </si>
  <si>
    <t>ORD-9558-A</t>
  </si>
  <si>
    <t>TKT0585</t>
  </si>
  <si>
    <t>john doe | wireless mouse issue in Hyderabad | order#71194</t>
  </si>
  <si>
    <t>ORD-9529-C</t>
  </si>
  <si>
    <t>TKT0586</t>
  </si>
  <si>
    <t>arun kumar | usb hub issue in Delhi | order#36287</t>
  </si>
  <si>
    <t>ORD-5532-C</t>
  </si>
  <si>
    <t>TKT0587</t>
  </si>
  <si>
    <t>meena iyer | wireless mouse issue in Delhi | order#45866</t>
  </si>
  <si>
    <t>ORD-9422-A</t>
  </si>
  <si>
    <t>TKT0588</t>
  </si>
  <si>
    <t>rahul verma | bluetooth speaker issue in Hyderabad | order#28554</t>
  </si>
  <si>
    <t>ORD-5011-A</t>
  </si>
  <si>
    <t>TKT0589</t>
  </si>
  <si>
    <t>john doe | usb hub issue in Delhi | order#27049</t>
  </si>
  <si>
    <t>ORD-1826-A</t>
  </si>
  <si>
    <t>TKT0590</t>
  </si>
  <si>
    <t>arun kumar | wireless mouse issue in Bangalore | order#88134</t>
  </si>
  <si>
    <t>ORD-8304-C</t>
  </si>
  <si>
    <t>TKT0591</t>
  </si>
  <si>
    <t>john doe | bluetooth speaker issue in Mumbai | order#71039</t>
  </si>
  <si>
    <t>ORD-2522-C</t>
  </si>
  <si>
    <t>TKT0592</t>
  </si>
  <si>
    <t>arun kumar | laptop stand issue in Delhi | order#40368</t>
  </si>
  <si>
    <t>ORD-5227-B</t>
  </si>
  <si>
    <t>TKT0593</t>
  </si>
  <si>
    <t>priya sharma | bluetooth speaker issue in Delhi | order#13966</t>
  </si>
  <si>
    <t>ORD-2849-B</t>
  </si>
  <si>
    <t>TKT0594</t>
  </si>
  <si>
    <t>meena iyer | gaming keyboard issue in Delhi | order#85324</t>
  </si>
  <si>
    <t>ORD-2686-B</t>
  </si>
  <si>
    <t>TKT0595</t>
  </si>
  <si>
    <t>john doe | usb hub issue in Chennai | order#70420</t>
  </si>
  <si>
    <t>ORD-7773-A</t>
  </si>
  <si>
    <t>TKT0596</t>
  </si>
  <si>
    <t>rahul verma | gaming keyboard issue in Bangalore | order#54658</t>
  </si>
  <si>
    <t>ORD-8063-B</t>
  </si>
  <si>
    <t>TKT0597</t>
  </si>
  <si>
    <t>rahul verma | gaming keyboard issue in Mumbai | order#73783</t>
  </si>
  <si>
    <t>ORD-8584-B</t>
  </si>
  <si>
    <t>TKT0598</t>
  </si>
  <si>
    <t>meena iyer | gaming keyboard issue in Delhi | order#88415</t>
  </si>
  <si>
    <t>ORD-7208-B</t>
  </si>
  <si>
    <t>TKT0599</t>
  </si>
  <si>
    <t>arun kumar | wireless mouse issue in Mumbai | order#93379</t>
  </si>
  <si>
    <t>ORD-3444-B</t>
  </si>
  <si>
    <t>TKT0600</t>
  </si>
  <si>
    <t>meena iyer | usb hub issue in Hyderabad | order#36956</t>
  </si>
  <si>
    <t>ORD-5910-C</t>
  </si>
  <si>
    <t>TKT0601</t>
  </si>
  <si>
    <t>meena iyer | bluetooth speaker issue in Chennai | order#76902</t>
  </si>
  <si>
    <t>ORD-5819-A</t>
  </si>
  <si>
    <t>TKT0602</t>
  </si>
  <si>
    <t>rahul verma | wireless mouse issue in Chennai | order#46989</t>
  </si>
  <si>
    <t>ORD-8073-C</t>
  </si>
  <si>
    <t>TKT0603</t>
  </si>
  <si>
    <t>john doe | laptop stand issue in Bangalore | order#81449</t>
  </si>
  <si>
    <t>ORD-3841-B</t>
  </si>
  <si>
    <t>TKT0604</t>
  </si>
  <si>
    <t>priya sharma | usb hub issue in Bangalore | order#30220</t>
  </si>
  <si>
    <t>ORD-3056-A</t>
  </si>
  <si>
    <t>TKT0605</t>
  </si>
  <si>
    <t>arun kumar | wireless mouse issue in Mumbai | order#67243</t>
  </si>
  <si>
    <t>ORD-3248-C</t>
  </si>
  <si>
    <t>TKT0606</t>
  </si>
  <si>
    <t>meena iyer | usb hub issue in Bangalore | order#76770</t>
  </si>
  <si>
    <t>ORD-8373-B</t>
  </si>
  <si>
    <t>TKT0607</t>
  </si>
  <si>
    <t>priya sharma | gaming keyboard issue in Bangalore | order#75294</t>
  </si>
  <si>
    <t>ORD-9220-B</t>
  </si>
  <si>
    <t>TKT0608</t>
  </si>
  <si>
    <t>rahul verma | usb hub issue in Delhi | order#84468</t>
  </si>
  <si>
    <t>ORD-7038-A</t>
  </si>
  <si>
    <t>TKT0609</t>
  </si>
  <si>
    <t>arun kumar | gaming keyboard issue in Hyderabad | order#77757</t>
  </si>
  <si>
    <t>ORD-2449-A</t>
  </si>
  <si>
    <t>TKT0610</t>
  </si>
  <si>
    <t>arun kumar | usb hub issue in Hyderabad | order#16917</t>
  </si>
  <si>
    <t>ORD-1176-B</t>
  </si>
  <si>
    <t>TKT0611</t>
  </si>
  <si>
    <t>rahul verma | laptop stand issue in Hyderabad | order#56257</t>
  </si>
  <si>
    <t>ORD-3744-A</t>
  </si>
  <si>
    <t>TKT0612</t>
  </si>
  <si>
    <t>rahul verma | bluetooth speaker issue in Chennai | order#32161</t>
  </si>
  <si>
    <t>ORD-5780-C</t>
  </si>
  <si>
    <t>TKT0613</t>
  </si>
  <si>
    <t>john doe | laptop stand issue in Chennai | order#20074</t>
  </si>
  <si>
    <t>ORD-3171-C</t>
  </si>
  <si>
    <t>TKT0614</t>
  </si>
  <si>
    <t>john doe | bluetooth speaker issue in Chennai | order#32886</t>
  </si>
  <si>
    <t>TKT0615</t>
  </si>
  <si>
    <t>john doe | gaming keyboard issue in Delhi | order#33699</t>
  </si>
  <si>
    <t>ORD-6617-A</t>
  </si>
  <si>
    <t>TKT0616</t>
  </si>
  <si>
    <t>rahul verma | gaming keyboard issue in Bangalore | order#41188</t>
  </si>
  <si>
    <t>ORD-3740-A</t>
  </si>
  <si>
    <t>TKT0617</t>
  </si>
  <si>
    <t>arun kumar | bluetooth speaker issue in Chennai | order#70819</t>
  </si>
  <si>
    <t>ORD-5937-B</t>
  </si>
  <si>
    <t>TKT0618</t>
  </si>
  <si>
    <t>meena iyer | laptop stand issue in Bangalore | order#79526</t>
  </si>
  <si>
    <t>ORD-5731-B</t>
  </si>
  <si>
    <t>TKT0619</t>
  </si>
  <si>
    <t>john doe | usb hub issue in Chennai | order#93548</t>
  </si>
  <si>
    <t>ORD-5466-B</t>
  </si>
  <si>
    <t>TKT0620</t>
  </si>
  <si>
    <t>john doe | wireless mouse issue in Delhi | order#98511</t>
  </si>
  <si>
    <t>ORD-4193-C</t>
  </si>
  <si>
    <t>TKT0621</t>
  </si>
  <si>
    <t>priya sharma | bluetooth speaker issue in Hyderabad | order#18906</t>
  </si>
  <si>
    <t>ORD-2600-C</t>
  </si>
  <si>
    <t>TKT0622</t>
  </si>
  <si>
    <t>meena iyer | bluetooth speaker issue in Mumbai | order#35307</t>
  </si>
  <si>
    <t>ORD-2506-A</t>
  </si>
  <si>
    <t>TKT0623</t>
  </si>
  <si>
    <t>rahul verma | wireless mouse issue in Chennai | order#27027</t>
  </si>
  <si>
    <t>ORD-4027-A</t>
  </si>
  <si>
    <t>TKT0624</t>
  </si>
  <si>
    <t>john doe | bluetooth speaker issue in Bangalore | order#69433</t>
  </si>
  <si>
    <t>ORD-6298-B</t>
  </si>
  <si>
    <t>TKT0625</t>
  </si>
  <si>
    <t>arun kumar | bluetooth speaker issue in Chennai | order#53601</t>
  </si>
  <si>
    <t>ORD-5336-A</t>
  </si>
  <si>
    <t>TKT0626</t>
  </si>
  <si>
    <t>arun kumar | laptop stand issue in Mumbai | order#94604</t>
  </si>
  <si>
    <t>ORD-3357-C</t>
  </si>
  <si>
    <t>TKT0627</t>
  </si>
  <si>
    <t>priya sharma | usb hub issue in Chennai | order#23538</t>
  </si>
  <si>
    <t>ORD-2153-C</t>
  </si>
  <si>
    <t>TKT0628</t>
  </si>
  <si>
    <t>meena iyer | wireless mouse issue in Bangalore | order#93930</t>
  </si>
  <si>
    <t>ORD-7397-B</t>
  </si>
  <si>
    <t>TKT0629</t>
  </si>
  <si>
    <t>john doe | laptop stand issue in Hyderabad | order#74314</t>
  </si>
  <si>
    <t>ORD-7617-C</t>
  </si>
  <si>
    <t>TKT0630</t>
  </si>
  <si>
    <t>rahul verma | gaming keyboard issue in Chennai | order#25886</t>
  </si>
  <si>
    <t>ORD-6880-B</t>
  </si>
  <si>
    <t>TKT0631</t>
  </si>
  <si>
    <t>meena iyer | wireless mouse issue in Chennai | order#54572</t>
  </si>
  <si>
    <t>ORD-5750-C</t>
  </si>
  <si>
    <t>TKT0632</t>
  </si>
  <si>
    <t>priya sharma | usb hub issue in Chennai | order#49173</t>
  </si>
  <si>
    <t>ORD-2749-C</t>
  </si>
  <si>
    <t>TKT0633</t>
  </si>
  <si>
    <t>meena iyer | wireless mouse issue in Bangalore | order#14679</t>
  </si>
  <si>
    <t>ORD-4907-B</t>
  </si>
  <si>
    <t>TKT0634</t>
  </si>
  <si>
    <t>arun kumar | usb hub issue in Delhi | order#68891</t>
  </si>
  <si>
    <t>ORD-6558-A</t>
  </si>
  <si>
    <t>TKT0635</t>
  </si>
  <si>
    <t>arun kumar | laptop stand issue in Chennai | order#97466</t>
  </si>
  <si>
    <t>ORD-9791-A</t>
  </si>
  <si>
    <t>TKT0636</t>
  </si>
  <si>
    <t>arun kumar | wireless mouse issue in Mumbai | order#12498</t>
  </si>
  <si>
    <t>ORD-1750-A</t>
  </si>
  <si>
    <t>TKT0637</t>
  </si>
  <si>
    <t>arun kumar | gaming keyboard issue in Chennai | order#69793</t>
  </si>
  <si>
    <t>ORD-2047-A</t>
  </si>
  <si>
    <t>TKT0638</t>
  </si>
  <si>
    <t>meena iyer | usb hub issue in Hyderabad | order#36560</t>
  </si>
  <si>
    <t>ORD-7586-B</t>
  </si>
  <si>
    <t>TKT0639</t>
  </si>
  <si>
    <t>rahul verma | usb hub issue in Mumbai | order#15975</t>
  </si>
  <si>
    <t>ORD-6496-A</t>
  </si>
  <si>
    <t>TKT0640</t>
  </si>
  <si>
    <t>john doe | gaming keyboard issue in Bangalore | order#82536</t>
  </si>
  <si>
    <t>ORD-4991-C</t>
  </si>
  <si>
    <t>TKT0641</t>
  </si>
  <si>
    <t>priya sharma | wireless mouse issue in Hyderabad | order#12048</t>
  </si>
  <si>
    <t>ORD-1104-A</t>
  </si>
  <si>
    <t>TKT0642</t>
  </si>
  <si>
    <t>arun kumar | usb hub issue in Delhi | order#26632</t>
  </si>
  <si>
    <t>ORD-5439-C</t>
  </si>
  <si>
    <t>TKT0643</t>
  </si>
  <si>
    <t>meena iyer | gaming keyboard issue in Mumbai | order#33593</t>
  </si>
  <si>
    <t>ORD-2442-C</t>
  </si>
  <si>
    <t>TKT0644</t>
  </si>
  <si>
    <t>john doe | laptop stand issue in Chennai | order#25401</t>
  </si>
  <si>
    <t>ORD-6929-C</t>
  </si>
  <si>
    <t>TKT0645</t>
  </si>
  <si>
    <t>meena iyer | gaming keyboard issue in Delhi | order#24769</t>
  </si>
  <si>
    <t>ORD-8772-B</t>
  </si>
  <si>
    <t>TKT0646</t>
  </si>
  <si>
    <t>priya sharma | wireless mouse issue in Chennai | order#37471</t>
  </si>
  <si>
    <t>ORD-6477-C</t>
  </si>
  <si>
    <t>TKT0647</t>
  </si>
  <si>
    <t>arun kumar | wireless mouse issue in Chennai | order#13809</t>
  </si>
  <si>
    <t>ORD-2901-A</t>
  </si>
  <si>
    <t>TKT0648</t>
  </si>
  <si>
    <t>meena iyer | usb hub issue in Hyderabad | order#36050</t>
  </si>
  <si>
    <t>ORD-6336-A</t>
  </si>
  <si>
    <t>TKT0649</t>
  </si>
  <si>
    <t>john doe | gaming keyboard issue in Chennai | order#36208</t>
  </si>
  <si>
    <t>ORD-2204-B</t>
  </si>
  <si>
    <t>TKT0650</t>
  </si>
  <si>
    <t>arun kumar | laptop stand issue in Mumbai | order#69636</t>
  </si>
  <si>
    <t>ORD-7119-A</t>
  </si>
  <si>
    <t>TKT0651</t>
  </si>
  <si>
    <t>priya sharma | bluetooth speaker issue in Delhi | order#26673</t>
  </si>
  <si>
    <t>ORD-1977-B</t>
  </si>
  <si>
    <t>TKT0652</t>
  </si>
  <si>
    <t>arun kumar | laptop stand issue in Bangalore | order#55033</t>
  </si>
  <si>
    <t>ORD-3568-C</t>
  </si>
  <si>
    <t>TKT0653</t>
  </si>
  <si>
    <t>rahul verma | usb hub issue in Mumbai | order#78389</t>
  </si>
  <si>
    <t>ORD-8757-B</t>
  </si>
  <si>
    <t>TKT0654</t>
  </si>
  <si>
    <t>arun kumar | laptop stand issue in Mumbai | order#66917</t>
  </si>
  <si>
    <t>ORD-3440-C</t>
  </si>
  <si>
    <t>TKT0655</t>
  </si>
  <si>
    <t>meena iyer | wireless mouse issue in Chennai | order#14406</t>
  </si>
  <si>
    <t>ORD-7460-B</t>
  </si>
  <si>
    <t>TKT0656</t>
  </si>
  <si>
    <t>meena iyer | laptop stand issue in Mumbai | order#11628</t>
  </si>
  <si>
    <t>ORD-7662-A</t>
  </si>
  <si>
    <t>TKT0657</t>
  </si>
  <si>
    <t>john doe | bluetooth speaker issue in Mumbai | order#72886</t>
  </si>
  <si>
    <t>ORD-3650-C</t>
  </si>
  <si>
    <t>TKT0658</t>
  </si>
  <si>
    <t>rahul verma | usb hub issue in Chennai | order#28169</t>
  </si>
  <si>
    <t>ORD-4030-B</t>
  </si>
  <si>
    <t>TKT0659</t>
  </si>
  <si>
    <t>arun kumar | wireless mouse issue in Bangalore | order#14287</t>
  </si>
  <si>
    <t>ORD-5420-C</t>
  </si>
  <si>
    <t>TKT0660</t>
  </si>
  <si>
    <t>arun kumar | usb hub issue in Delhi | order#98428</t>
  </si>
  <si>
    <t>ORD-2818-B</t>
  </si>
  <si>
    <t>TKT0661</t>
  </si>
  <si>
    <t>meena iyer | usb hub issue in Chennai | order#32972</t>
  </si>
  <si>
    <t>ORD-2097-C</t>
  </si>
  <si>
    <t>TKT0662</t>
  </si>
  <si>
    <t>priya sharma | bluetooth speaker issue in Mumbai | order#72717</t>
  </si>
  <si>
    <t>ORD-4437-C</t>
  </si>
  <si>
    <t>TKT0663</t>
  </si>
  <si>
    <t>john doe | bluetooth speaker issue in Delhi | order#46325</t>
  </si>
  <si>
    <t>ORD-7108-B</t>
  </si>
  <si>
    <t>TKT0664</t>
  </si>
  <si>
    <t>meena iyer | usb hub issue in Hyderabad | order#79717</t>
  </si>
  <si>
    <t>ORD-5788-B</t>
  </si>
  <si>
    <t>TKT0665</t>
  </si>
  <si>
    <t>arun kumar | gaming keyboard issue in Bangalore | order#61207</t>
  </si>
  <si>
    <t>ORD-2260-A</t>
  </si>
  <si>
    <t>TKT0666</t>
  </si>
  <si>
    <t>john doe | wireless mouse issue in Mumbai | order#36772</t>
  </si>
  <si>
    <t>ORD-1371-B</t>
  </si>
  <si>
    <t>TKT0667</t>
  </si>
  <si>
    <t>rahul verma | gaming keyboard issue in Bangalore | order#68177</t>
  </si>
  <si>
    <t>ORD-1351-B</t>
  </si>
  <si>
    <t>TKT0668</t>
  </si>
  <si>
    <t>arun kumar | wireless mouse issue in Mumbai | order#54024</t>
  </si>
  <si>
    <t>ORD-6616-C</t>
  </si>
  <si>
    <t>TKT0669</t>
  </si>
  <si>
    <t>meena iyer | usb hub issue in Hyderabad | order#49856</t>
  </si>
  <si>
    <t>ORD-6021-A</t>
  </si>
  <si>
    <t>TKT0670</t>
  </si>
  <si>
    <t>priya sharma | laptop stand issue in Delhi | order#29443</t>
  </si>
  <si>
    <t>ORD-8469-A</t>
  </si>
  <si>
    <t>TKT0671</t>
  </si>
  <si>
    <t>rahul verma | bluetooth speaker issue in Mumbai | order#31135</t>
  </si>
  <si>
    <t>ORD-1674-B</t>
  </si>
  <si>
    <t>TKT0672</t>
  </si>
  <si>
    <t>meena iyer | bluetooth speaker issue in Delhi | order#83726</t>
  </si>
  <si>
    <t>ORD-6192-B</t>
  </si>
  <si>
    <t>TKT0673</t>
  </si>
  <si>
    <t>john doe | laptop stand issue in Hyderabad | order#49526</t>
  </si>
  <si>
    <t>ORD-7628-B</t>
  </si>
  <si>
    <t>TKT0674</t>
  </si>
  <si>
    <t>meena iyer | bluetooth speaker issue in Mumbai | order#76507</t>
  </si>
  <si>
    <t>ORD-5842-B</t>
  </si>
  <si>
    <t>TKT0675</t>
  </si>
  <si>
    <t>rahul verma | gaming keyboard issue in Hyderabad | order#24721</t>
  </si>
  <si>
    <t>ORD-1656-A</t>
  </si>
  <si>
    <t>TKT0676</t>
  </si>
  <si>
    <t>john doe | wireless mouse issue in Bangalore | order#56844</t>
  </si>
  <si>
    <t>ORD-1901-C</t>
  </si>
  <si>
    <t>TKT0677</t>
  </si>
  <si>
    <t>rahul verma | usb hub issue in Mumbai | order#12955</t>
  </si>
  <si>
    <t>ORD-8298-C</t>
  </si>
  <si>
    <t>TKT0678</t>
  </si>
  <si>
    <t>rahul verma | laptop stand issue in Mumbai | order#89058</t>
  </si>
  <si>
    <t>ORD-1918-C</t>
  </si>
  <si>
    <t>TKT0679</t>
  </si>
  <si>
    <t>meena iyer | gaming keyboard issue in Bangalore | order#58867</t>
  </si>
  <si>
    <t>ORD-6651-B</t>
  </si>
  <si>
    <t>TKT0680</t>
  </si>
  <si>
    <t>meena iyer | usb hub issue in Chennai | order#64474</t>
  </si>
  <si>
    <t>ORD-3683-C</t>
  </si>
  <si>
    <t>TKT0681</t>
  </si>
  <si>
    <t>meena iyer | gaming keyboard issue in Hyderabad | order#37234</t>
  </si>
  <si>
    <t>ORD-9606-B</t>
  </si>
  <si>
    <t>TKT0682</t>
  </si>
  <si>
    <t>rahul verma | laptop stand issue in Chennai | order#93729</t>
  </si>
  <si>
    <t>ORD-3865-C</t>
  </si>
  <si>
    <t>TKT0683</t>
  </si>
  <si>
    <t>rahul verma | gaming keyboard issue in Mumbai | order#47940</t>
  </si>
  <si>
    <t>ORD-1691-B</t>
  </si>
  <si>
    <t>TKT0684</t>
  </si>
  <si>
    <t>meena iyer | usb hub issue in Bangalore | order#10320</t>
  </si>
  <si>
    <t>ORD-5917-C</t>
  </si>
  <si>
    <t>TKT0685</t>
  </si>
  <si>
    <t>arun kumar | bluetooth speaker issue in Bangalore | order#94513</t>
  </si>
  <si>
    <t>ORD-2955-B</t>
  </si>
  <si>
    <t>TKT0686</t>
  </si>
  <si>
    <t>arun kumar | usb hub issue in Delhi | order#67156</t>
  </si>
  <si>
    <t>ORD-8799-C</t>
  </si>
  <si>
    <t>TKT0687</t>
  </si>
  <si>
    <t>john doe | usb hub issue in Hyderabad | order#31344</t>
  </si>
  <si>
    <t>ORD-3394-B</t>
  </si>
  <si>
    <t>TKT0688</t>
  </si>
  <si>
    <t>priya sharma | bluetooth speaker issue in Mumbai | order#57338</t>
  </si>
  <si>
    <t>ORD-6832-A</t>
  </si>
  <si>
    <t>TKT0689</t>
  </si>
  <si>
    <t>john doe | usb hub issue in Chennai | order#92317</t>
  </si>
  <si>
    <t>ORD-3738-C</t>
  </si>
  <si>
    <t>TKT0690</t>
  </si>
  <si>
    <t>john doe | bluetooth speaker issue in Delhi | order#80047</t>
  </si>
  <si>
    <t>ORD-3354-A</t>
  </si>
  <si>
    <t>TKT0691</t>
  </si>
  <si>
    <t>rahul verma | bluetooth speaker issue in Delhi | order#54605</t>
  </si>
  <si>
    <t>ORD-4569-A</t>
  </si>
  <si>
    <t>TKT0692</t>
  </si>
  <si>
    <t>priya sharma | usb hub issue in Hyderabad | order#82235</t>
  </si>
  <si>
    <t>ORD-7837-B</t>
  </si>
  <si>
    <t>TKT0693</t>
  </si>
  <si>
    <t>arun kumar | gaming keyboard issue in Chennai | order#50838</t>
  </si>
  <si>
    <t>ORD-3277-B</t>
  </si>
  <si>
    <t>TKT0694</t>
  </si>
  <si>
    <t>priya sharma | bluetooth speaker issue in Chennai | order#26870</t>
  </si>
  <si>
    <t>ORD-4712-B</t>
  </si>
  <si>
    <t>TKT0695</t>
  </si>
  <si>
    <t>priya sharma | gaming keyboard issue in Chennai | order#20188</t>
  </si>
  <si>
    <t>ORD-8065-A</t>
  </si>
  <si>
    <t>TKT0696</t>
  </si>
  <si>
    <t>arun kumar | wireless mouse issue in Hyderabad | order#25587</t>
  </si>
  <si>
    <t>ORD-2085-B</t>
  </si>
  <si>
    <t>TKT0697</t>
  </si>
  <si>
    <t>arun kumar | wireless mouse issue in Hyderabad | order#36217</t>
  </si>
  <si>
    <t>ORD-6759-A</t>
  </si>
  <si>
    <t>TKT0698</t>
  </si>
  <si>
    <t>priya sharma | bluetooth speaker issue in Hyderabad | order#31044</t>
  </si>
  <si>
    <t>ORD-4962-C</t>
  </si>
  <si>
    <t>TKT0699</t>
  </si>
  <si>
    <t>arun kumar | usb hub issue in Chennai | order#35106</t>
  </si>
  <si>
    <t>ORD-9800-A</t>
  </si>
  <si>
    <t>TKT0700</t>
  </si>
  <si>
    <t>priya sharma | usb hub issue in Bangalore | order#34264</t>
  </si>
  <si>
    <t>ORD-2758-A</t>
  </si>
  <si>
    <t>TKT0701</t>
  </si>
  <si>
    <t>meena iyer | laptop stand issue in Mumbai | order#63422</t>
  </si>
  <si>
    <t>ORD-3025-B</t>
  </si>
  <si>
    <t>TKT0702</t>
  </si>
  <si>
    <t>rahul verma | gaming keyboard issue in Bangalore | order#83024</t>
  </si>
  <si>
    <t>ORD-2347-B</t>
  </si>
  <si>
    <t>TKT0703</t>
  </si>
  <si>
    <t>arun kumar | laptop stand issue in Delhi | order#50895</t>
  </si>
  <si>
    <t>ORD-4700-C</t>
  </si>
  <si>
    <t>TKT0704</t>
  </si>
  <si>
    <t>john doe | laptop stand issue in Mumbai | order#99015</t>
  </si>
  <si>
    <t>ORD-1209-C</t>
  </si>
  <si>
    <t>TKT0705</t>
  </si>
  <si>
    <t>arun kumar | laptop stand issue in Bangalore | order#98672</t>
  </si>
  <si>
    <t>ORD-3348-B</t>
  </si>
  <si>
    <t>TKT0706</t>
  </si>
  <si>
    <t>rahul verma | wireless mouse issue in Mumbai | order#36094</t>
  </si>
  <si>
    <t>ORD-7623-A</t>
  </si>
  <si>
    <t>TKT0707</t>
  </si>
  <si>
    <t>meena iyer | laptop stand issue in Delhi | order#62459</t>
  </si>
  <si>
    <t>ORD-7626-B</t>
  </si>
  <si>
    <t>TKT0708</t>
  </si>
  <si>
    <t>priya sharma | laptop stand issue in Chennai | order#74138</t>
  </si>
  <si>
    <t>ORD-3205-A</t>
  </si>
  <si>
    <t>TKT0709</t>
  </si>
  <si>
    <t>arun kumar | wireless mouse issue in Bangalore | order#60152</t>
  </si>
  <si>
    <t>ORD-6356-A</t>
  </si>
  <si>
    <t>TKT0710</t>
  </si>
  <si>
    <t>rahul verma | usb hub issue in Chennai | order#74512</t>
  </si>
  <si>
    <t>ORD-5809-C</t>
  </si>
  <si>
    <t>TKT0711</t>
  </si>
  <si>
    <t>meena iyer | usb hub issue in Delhi | order#81646</t>
  </si>
  <si>
    <t>ORD-8051-A</t>
  </si>
  <si>
    <t>TKT0712</t>
  </si>
  <si>
    <t>meena iyer | bluetooth speaker issue in Bangalore | order#14716</t>
  </si>
  <si>
    <t>ORD-5965-C</t>
  </si>
  <si>
    <t>TKT0713</t>
  </si>
  <si>
    <t>meena iyer | laptop stand issue in Mumbai | order#73891</t>
  </si>
  <si>
    <t>ORD-9037-C</t>
  </si>
  <si>
    <t>TKT0714</t>
  </si>
  <si>
    <t>meena iyer | usb hub issue in Mumbai | order#61299</t>
  </si>
  <si>
    <t>ORD-7189-C</t>
  </si>
  <si>
    <t>TKT0715</t>
  </si>
  <si>
    <t>john doe | bluetooth speaker issue in Chennai | order#15913</t>
  </si>
  <si>
    <t>ORD-6715-C</t>
  </si>
  <si>
    <t>TKT0716</t>
  </si>
  <si>
    <t>john doe | laptop stand issue in Chennai | order#56840</t>
  </si>
  <si>
    <t>ORD-1924-C</t>
  </si>
  <si>
    <t>TKT0717</t>
  </si>
  <si>
    <t>priya sharma | gaming keyboard issue in Delhi | order#49965</t>
  </si>
  <si>
    <t>ORD-3781-A</t>
  </si>
  <si>
    <t>TKT0718</t>
  </si>
  <si>
    <t>arun kumar | laptop stand issue in Bangalore | order#44946</t>
  </si>
  <si>
    <t>ORD-8695-C</t>
  </si>
  <si>
    <t>TKT0719</t>
  </si>
  <si>
    <t>john doe | laptop stand issue in Hyderabad | order#85043</t>
  </si>
  <si>
    <t>ORD-2639-C</t>
  </si>
  <si>
    <t>TKT0720</t>
  </si>
  <si>
    <t>john doe | laptop stand issue in Hyderabad | order#90586</t>
  </si>
  <si>
    <t>ORD-8143-A</t>
  </si>
  <si>
    <t>TKT0721</t>
  </si>
  <si>
    <t>arun kumar | usb hub issue in Mumbai | order#16230</t>
  </si>
  <si>
    <t>ORD-7586-A</t>
  </si>
  <si>
    <t>TKT0722</t>
  </si>
  <si>
    <t>rahul verma | wireless mouse issue in Hyderabad | order#18817</t>
  </si>
  <si>
    <t>ORD-8786-B</t>
  </si>
  <si>
    <t>TKT0723</t>
  </si>
  <si>
    <t>john doe | wireless mouse issue in Delhi | order#66742</t>
  </si>
  <si>
    <t>ORD-6133-A</t>
  </si>
  <si>
    <t>TKT0724</t>
  </si>
  <si>
    <t>meena iyer | bluetooth speaker issue in Hyderabad | order#98022</t>
  </si>
  <si>
    <t>ORD-1304-C</t>
  </si>
  <si>
    <t>TKT0725</t>
  </si>
  <si>
    <t>rahul verma | laptop stand issue in Mumbai | order#93614</t>
  </si>
  <si>
    <t>ORD-8106-C</t>
  </si>
  <si>
    <t>TKT0726</t>
  </si>
  <si>
    <t>rahul verma | gaming keyboard issue in Delhi | order#41506</t>
  </si>
  <si>
    <t>ORD-5919-B</t>
  </si>
  <si>
    <t>TKT0727</t>
  </si>
  <si>
    <t>john doe | wireless mouse issue in Mumbai | order#47623</t>
  </si>
  <si>
    <t>ORD-5201-C</t>
  </si>
  <si>
    <t>TKT0728</t>
  </si>
  <si>
    <t>meena iyer | gaming keyboard issue in Chennai | order#13631</t>
  </si>
  <si>
    <t>ORD-8604-B</t>
  </si>
  <si>
    <t>TKT0729</t>
  </si>
  <si>
    <t>meena iyer | wireless mouse issue in Mumbai | order#27882</t>
  </si>
  <si>
    <t>ORD-5551-C</t>
  </si>
  <si>
    <t>TKT0730</t>
  </si>
  <si>
    <t>arun kumar | laptop stand issue in Chennai | order#51144</t>
  </si>
  <si>
    <t>ORD-2041-B</t>
  </si>
  <si>
    <t>TKT0731</t>
  </si>
  <si>
    <t>arun kumar | laptop stand issue in Mumbai | order#84838</t>
  </si>
  <si>
    <t>ORD-2976-C</t>
  </si>
  <si>
    <t>TKT0732</t>
  </si>
  <si>
    <t>meena iyer | wireless mouse issue in Mumbai | order#53160</t>
  </si>
  <si>
    <t>ORD-7388-C</t>
  </si>
  <si>
    <t>TKT0733</t>
  </si>
  <si>
    <t>meena iyer | gaming keyboard issue in Mumbai | order#38063</t>
  </si>
  <si>
    <t>ORD-7690-B</t>
  </si>
  <si>
    <t>TKT0734</t>
  </si>
  <si>
    <t>meena iyer | usb hub issue in Delhi | order#81531</t>
  </si>
  <si>
    <t>ORD-5036-B</t>
  </si>
  <si>
    <t>TKT0735</t>
  </si>
  <si>
    <t>john doe | laptop stand issue in Delhi | order#94593</t>
  </si>
  <si>
    <t>ORD-1895-C</t>
  </si>
  <si>
    <t>TKT0736</t>
  </si>
  <si>
    <t>john doe | usb hub issue in Bangalore | order#57560</t>
  </si>
  <si>
    <t>ORD-9763-A</t>
  </si>
  <si>
    <t>TKT0737</t>
  </si>
  <si>
    <t>meena iyer | wireless mouse issue in Bangalore | order#21829</t>
  </si>
  <si>
    <t>ORD-4446-A</t>
  </si>
  <si>
    <t>TKT0738</t>
  </si>
  <si>
    <t>john doe | laptop stand issue in Chennai | order#74447</t>
  </si>
  <si>
    <t>ORD-7765-B</t>
  </si>
  <si>
    <t>TKT0739</t>
  </si>
  <si>
    <t>arun kumar | gaming keyboard issue in Delhi | order#56118</t>
  </si>
  <si>
    <t>ORD-9973-C</t>
  </si>
  <si>
    <t>TKT0740</t>
  </si>
  <si>
    <t>meena iyer | wireless mouse issue in Chennai | order#68117</t>
  </si>
  <si>
    <t>ORD-1050-B</t>
  </si>
  <si>
    <t>TKT0741</t>
  </si>
  <si>
    <t>john doe | bluetooth speaker issue in Hyderabad | order#30686</t>
  </si>
  <si>
    <t>ORD-3131-C</t>
  </si>
  <si>
    <t>TKT0742</t>
  </si>
  <si>
    <t>john doe | laptop stand issue in Bangalore | order#32738</t>
  </si>
  <si>
    <t>ORD-6367-B</t>
  </si>
  <si>
    <t>TKT0743</t>
  </si>
  <si>
    <t>arun kumar | laptop stand issue in Delhi | order#59456</t>
  </si>
  <si>
    <t>ORD-1339-A</t>
  </si>
  <si>
    <t>TKT0744</t>
  </si>
  <si>
    <t>arun kumar | laptop stand issue in Mumbai | order#16525</t>
  </si>
  <si>
    <t>ORD-8027-C</t>
  </si>
  <si>
    <t>TKT0745</t>
  </si>
  <si>
    <t>priya sharma | wireless mouse issue in Delhi | order#25381</t>
  </si>
  <si>
    <t>ORD-9615-B</t>
  </si>
  <si>
    <t>TKT0746</t>
  </si>
  <si>
    <t>meena iyer | wireless mouse issue in Mumbai | order#44891</t>
  </si>
  <si>
    <t>ORD-9096-B</t>
  </si>
  <si>
    <t>TKT0747</t>
  </si>
  <si>
    <t>meena iyer | gaming keyboard issue in Hyderabad | order#98760</t>
  </si>
  <si>
    <t>ORD-3955-B</t>
  </si>
  <si>
    <t>TKT0748</t>
  </si>
  <si>
    <t>arun kumar | bluetooth speaker issue in Delhi | order#69110</t>
  </si>
  <si>
    <t>ORD-8506-A</t>
  </si>
  <si>
    <t>TKT0749</t>
  </si>
  <si>
    <t>meena iyer | gaming keyboard issue in Delhi | order#60265</t>
  </si>
  <si>
    <t>ORD-5198-A</t>
  </si>
  <si>
    <t>TKT0750</t>
  </si>
  <si>
    <t>rahul verma | wireless mouse issue in Chennai | order#71726</t>
  </si>
  <si>
    <t>ORD-1745-A</t>
  </si>
  <si>
    <t>TKT0751</t>
  </si>
  <si>
    <t>rahul verma | usb hub issue in Bangalore | order#97983</t>
  </si>
  <si>
    <t>ORD-1673-C</t>
  </si>
  <si>
    <t>TKT0752</t>
  </si>
  <si>
    <t>john doe | gaming keyboard issue in Hyderabad | order#71352</t>
  </si>
  <si>
    <t>ORD-6198-C</t>
  </si>
  <si>
    <t>TKT0753</t>
  </si>
  <si>
    <t>priya sharma | bluetooth speaker issue in Chennai | order#26760</t>
  </si>
  <si>
    <t>ORD-6907-B</t>
  </si>
  <si>
    <t>TKT0754</t>
  </si>
  <si>
    <t>john doe | usb hub issue in Delhi | order#67117</t>
  </si>
  <si>
    <t>ORD-9049-A</t>
  </si>
  <si>
    <t>TKT0755</t>
  </si>
  <si>
    <t>arun kumar | gaming keyboard issue in Mumbai | order#34004</t>
  </si>
  <si>
    <t>ORD-5263-A</t>
  </si>
  <si>
    <t>TKT0756</t>
  </si>
  <si>
    <t>meena iyer | wireless mouse issue in Bangalore | order#56729</t>
  </si>
  <si>
    <t>ORD-8949-B</t>
  </si>
  <si>
    <t>TKT0757</t>
  </si>
  <si>
    <t>arun kumar | gaming keyboard issue in Chennai | order#36703</t>
  </si>
  <si>
    <t>ORD-3757-C</t>
  </si>
  <si>
    <t>TKT0758</t>
  </si>
  <si>
    <t>rahul verma | usb hub issue in Mumbai | order#84814</t>
  </si>
  <si>
    <t>ORD-2258-A</t>
  </si>
  <si>
    <t>TKT0759</t>
  </si>
  <si>
    <t>arun kumar | bluetooth speaker issue in Chennai | order#61664</t>
  </si>
  <si>
    <t>ORD-2737-B</t>
  </si>
  <si>
    <t>TKT0760</t>
  </si>
  <si>
    <t>arun kumar | wireless mouse issue in Bangalore | order#92359</t>
  </si>
  <si>
    <t>ORD-1095-B</t>
  </si>
  <si>
    <t>TKT0761</t>
  </si>
  <si>
    <t>rahul verma | laptop stand issue in Delhi | order#16380</t>
  </si>
  <si>
    <t>ORD-6294-A</t>
  </si>
  <si>
    <t>TKT0762</t>
  </si>
  <si>
    <t>rahul verma | usb hub issue in Bangalore | order#43444</t>
  </si>
  <si>
    <t>ORD-7535-A</t>
  </si>
  <si>
    <t>TKT0763</t>
  </si>
  <si>
    <t>priya sharma | gaming keyboard issue in Bangalore | order#94825</t>
  </si>
  <si>
    <t>ORD-2975-B</t>
  </si>
  <si>
    <t>TKT0764</t>
  </si>
  <si>
    <t>meena iyer | bluetooth speaker issue in Hyderabad | order#97231</t>
  </si>
  <si>
    <t>ORD-9399-A</t>
  </si>
  <si>
    <t>TKT0765</t>
  </si>
  <si>
    <t>meena iyer | laptop stand issue in Bangalore | order#88687</t>
  </si>
  <si>
    <t>ORD-7922-B</t>
  </si>
  <si>
    <t>TKT0766</t>
  </si>
  <si>
    <t>meena iyer | laptop stand issue in Chennai | order#54793</t>
  </si>
  <si>
    <t>ORD-4673-C</t>
  </si>
  <si>
    <t>TKT0767</t>
  </si>
  <si>
    <t>meena iyer | usb hub issue in Hyderabad | order#71370</t>
  </si>
  <si>
    <t>ORD-8825-B</t>
  </si>
  <si>
    <t>TKT0768</t>
  </si>
  <si>
    <t>priya sharma | bluetooth speaker issue in Mumbai | order#48729</t>
  </si>
  <si>
    <t>ORD-2253-A</t>
  </si>
  <si>
    <t>TKT0769</t>
  </si>
  <si>
    <t>rahul verma | laptop stand issue in Bangalore | order#96619</t>
  </si>
  <si>
    <t>ORD-5151-B</t>
  </si>
  <si>
    <t>TKT0770</t>
  </si>
  <si>
    <t>rahul verma | wireless mouse issue in Hyderabad | order#96714</t>
  </si>
  <si>
    <t>ORD-3985-B</t>
  </si>
  <si>
    <t>TKT0771</t>
  </si>
  <si>
    <t>arun kumar | laptop stand issue in Delhi | order#69637</t>
  </si>
  <si>
    <t>ORD-5342-B</t>
  </si>
  <si>
    <t>TKT0772</t>
  </si>
  <si>
    <t>priya sharma | gaming keyboard issue in Chennai | order#66858</t>
  </si>
  <si>
    <t>TKT0773</t>
  </si>
  <si>
    <t>arun kumar | gaming keyboard issue in Bangalore | order#96208</t>
  </si>
  <si>
    <t>ORD-8974-B</t>
  </si>
  <si>
    <t>TKT0774</t>
  </si>
  <si>
    <t>meena iyer | bluetooth speaker issue in Chennai | order#11818</t>
  </si>
  <si>
    <t>ORD-1260-C</t>
  </si>
  <si>
    <t>TKT0775</t>
  </si>
  <si>
    <t>arun kumar | gaming keyboard issue in Bangalore | order#41690</t>
  </si>
  <si>
    <t>ORD-9824-A</t>
  </si>
  <si>
    <t>TKT0776</t>
  </si>
  <si>
    <t>john doe | laptop stand issue in Mumbai | order#12859</t>
  </si>
  <si>
    <t>ORD-3497-C</t>
  </si>
  <si>
    <t>TKT0777</t>
  </si>
  <si>
    <t>meena iyer | laptop stand issue in Chennai | order#41801</t>
  </si>
  <si>
    <t>ORD-7418-A</t>
  </si>
  <si>
    <t>TKT0778</t>
  </si>
  <si>
    <t>arun kumar | wireless mouse issue in Bangalore | order#85846</t>
  </si>
  <si>
    <t>ORD-5764-A</t>
  </si>
  <si>
    <t>TKT0779</t>
  </si>
  <si>
    <t>meena iyer | laptop stand issue in Hyderabad | order#17956</t>
  </si>
  <si>
    <t>ORD-7914-C</t>
  </si>
  <si>
    <t>TKT0780</t>
  </si>
  <si>
    <t>rahul verma | wireless mouse issue in Delhi | order#25327</t>
  </si>
  <si>
    <t>ORD-6681-B</t>
  </si>
  <si>
    <t>TKT0781</t>
  </si>
  <si>
    <t>arun kumar | gaming keyboard issue in Delhi | order#55068</t>
  </si>
  <si>
    <t>ORD-9317-A</t>
  </si>
  <si>
    <t>TKT0782</t>
  </si>
  <si>
    <t>rahul verma | laptop stand issue in Mumbai | order#64638</t>
  </si>
  <si>
    <t>ORD-6902-B</t>
  </si>
  <si>
    <t>TKT0783</t>
  </si>
  <si>
    <t>rahul verma | gaming keyboard issue in Delhi | order#26920</t>
  </si>
  <si>
    <t>ORD-3561-C</t>
  </si>
  <si>
    <t>TKT0784</t>
  </si>
  <si>
    <t>arun kumar | laptop stand issue in Bangalore | order#37450</t>
  </si>
  <si>
    <t>ORD-1297-B</t>
  </si>
  <si>
    <t>TKT0785</t>
  </si>
  <si>
    <t>john doe | gaming keyboard issue in Mumbai | order#18344</t>
  </si>
  <si>
    <t>ORD-2867-C</t>
  </si>
  <si>
    <t>TKT0786</t>
  </si>
  <si>
    <t>arun kumar | usb hub issue in Mumbai | order#54606</t>
  </si>
  <si>
    <t>ORD-5382-A</t>
  </si>
  <si>
    <t>TKT0787</t>
  </si>
  <si>
    <t>arun kumar | laptop stand issue in Bangalore | order#90028</t>
  </si>
  <si>
    <t>ORD-1687-C</t>
  </si>
  <si>
    <t>TKT0788</t>
  </si>
  <si>
    <t>priya sharma | wireless mouse issue in Mumbai | order#48289</t>
  </si>
  <si>
    <t>ORD-9288-B</t>
  </si>
  <si>
    <t>TKT0789</t>
  </si>
  <si>
    <t>priya sharma | bluetooth speaker issue in Delhi | order#36462</t>
  </si>
  <si>
    <t>ORD-1107-A</t>
  </si>
  <si>
    <t>TKT0790</t>
  </si>
  <si>
    <t>john doe | bluetooth speaker issue in Hyderabad | order#44867</t>
  </si>
  <si>
    <t>ORD-7799-B</t>
  </si>
  <si>
    <t>TKT0791</t>
  </si>
  <si>
    <t>priya sharma | usb hub issue in Bangalore | order#66206</t>
  </si>
  <si>
    <t>ORD-8516-C</t>
  </si>
  <si>
    <t>TKT0792</t>
  </si>
  <si>
    <t>arun kumar | laptop stand issue in Mumbai | order#19120</t>
  </si>
  <si>
    <t>ORD-6157-B</t>
  </si>
  <si>
    <t>TKT0793</t>
  </si>
  <si>
    <t>meena iyer | wireless mouse issue in Bangalore | order#29785</t>
  </si>
  <si>
    <t>ORD-9516-B</t>
  </si>
  <si>
    <t>TKT0794</t>
  </si>
  <si>
    <t>meena iyer | usb hub issue in Delhi | order#11035</t>
  </si>
  <si>
    <t>ORD-3406-C</t>
  </si>
  <si>
    <t>TKT0795</t>
  </si>
  <si>
    <t>meena iyer | gaming keyboard issue in Hyderabad | order#95033</t>
  </si>
  <si>
    <t>ORD-5940-A</t>
  </si>
  <si>
    <t>TKT0796</t>
  </si>
  <si>
    <t>rahul verma | bluetooth speaker issue in Bangalore | order#80882</t>
  </si>
  <si>
    <t>ORD-2520-C</t>
  </si>
  <si>
    <t>TKT0797</t>
  </si>
  <si>
    <t>rahul verma | bluetooth speaker issue in Mumbai | order#80770</t>
  </si>
  <si>
    <t>ORD-4954-B</t>
  </si>
  <si>
    <t>TKT0798</t>
  </si>
  <si>
    <t>rahul verma | wireless mouse issue in Chennai | order#92180</t>
  </si>
  <si>
    <t>ORD-3028-A</t>
  </si>
  <si>
    <t>TKT0799</t>
  </si>
  <si>
    <t>meena iyer | bluetooth speaker issue in Hyderabad | order#54430</t>
  </si>
  <si>
    <t>ORD-9737-C</t>
  </si>
  <si>
    <t>TKT0800</t>
  </si>
  <si>
    <t>john doe | bluetooth speaker issue in Delhi | order#78113</t>
  </si>
  <si>
    <t>ORD-2724-B</t>
  </si>
  <si>
    <t>TKT0801</t>
  </si>
  <si>
    <t>john doe | laptop stand issue in Chennai | order#64008</t>
  </si>
  <si>
    <t>ORD-2018-B</t>
  </si>
  <si>
    <t>TKT0802</t>
  </si>
  <si>
    <t>meena iyer | gaming keyboard issue in Bangalore | order#98712</t>
  </si>
  <si>
    <t>ORD-9502-B</t>
  </si>
  <si>
    <t>TKT0803</t>
  </si>
  <si>
    <t>rahul verma | laptop stand issue in Bangalore | order#64646</t>
  </si>
  <si>
    <t>ORD-9286-A</t>
  </si>
  <si>
    <t>TKT0804</t>
  </si>
  <si>
    <t>meena iyer | gaming keyboard issue in Hyderabad | order#37871</t>
  </si>
  <si>
    <t>ORD-1534-C</t>
  </si>
  <si>
    <t>TKT0805</t>
  </si>
  <si>
    <t>rahul verma | bluetooth speaker issue in Chennai | order#25842</t>
  </si>
  <si>
    <t>ORD-5744-A</t>
  </si>
  <si>
    <t>TKT0806</t>
  </si>
  <si>
    <t>arun kumar | bluetooth speaker issue in Delhi | order#48532</t>
  </si>
  <si>
    <t>ORD-3340-A</t>
  </si>
  <si>
    <t>TKT0807</t>
  </si>
  <si>
    <t>arun kumar | bluetooth speaker issue in Delhi | order#74067</t>
  </si>
  <si>
    <t>ORD-9970-B</t>
  </si>
  <si>
    <t>TKT0808</t>
  </si>
  <si>
    <t>arun kumar | laptop stand issue in Bangalore | order#69293</t>
  </si>
  <si>
    <t>ORD-8786-C</t>
  </si>
  <si>
    <t>TKT0809</t>
  </si>
  <si>
    <t>priya sharma | usb hub issue in Bangalore | order#29527</t>
  </si>
  <si>
    <t>ORD-2463-C</t>
  </si>
  <si>
    <t>TKT0810</t>
  </si>
  <si>
    <t>meena iyer | gaming keyboard issue in Bangalore | order#16005</t>
  </si>
  <si>
    <t>ORD-5544-C</t>
  </si>
  <si>
    <t>TKT0811</t>
  </si>
  <si>
    <t>priya sharma | wireless mouse issue in Hyderabad | order#94562</t>
  </si>
  <si>
    <t>ORD-2395-A</t>
  </si>
  <si>
    <t>TKT0812</t>
  </si>
  <si>
    <t>rahul verma | usb hub issue in Mumbai | order#12446</t>
  </si>
  <si>
    <t>ORD-9713-A</t>
  </si>
  <si>
    <t>TKT0813</t>
  </si>
  <si>
    <t>john doe | gaming keyboard issue in Mumbai | order#79932</t>
  </si>
  <si>
    <t>ORD-7583-C</t>
  </si>
  <si>
    <t>TKT0814</t>
  </si>
  <si>
    <t>meena iyer | wireless mouse issue in Delhi | order#64386</t>
  </si>
  <si>
    <t>ORD-6199-B</t>
  </si>
  <si>
    <t>TKT0815</t>
  </si>
  <si>
    <t>arun kumar | wireless mouse issue in Chennai | order#28878</t>
  </si>
  <si>
    <t>ORD-2468-A</t>
  </si>
  <si>
    <t>TKT0816</t>
  </si>
  <si>
    <t>meena iyer | gaming keyboard issue in Chennai | order#13561</t>
  </si>
  <si>
    <t>ORD-5882-B</t>
  </si>
  <si>
    <t>TKT0817</t>
  </si>
  <si>
    <t>john doe | gaming keyboard issue in Bangalore | order#59219</t>
  </si>
  <si>
    <t>ORD-4318-A</t>
  </si>
  <si>
    <t>TKT0818</t>
  </si>
  <si>
    <t>meena iyer | usb hub issue in Hyderabad | order#45296</t>
  </si>
  <si>
    <t>ORD-8615-C</t>
  </si>
  <si>
    <t>TKT0819</t>
  </si>
  <si>
    <t>arun kumar | laptop stand issue in Chennai | order#40636</t>
  </si>
  <si>
    <t>ORD-2663-A</t>
  </si>
  <si>
    <t>TKT0820</t>
  </si>
  <si>
    <t>john doe | usb hub issue in Bangalore | order#93335</t>
  </si>
  <si>
    <t>ORD-3332-B</t>
  </si>
  <si>
    <t>TKT0821</t>
  </si>
  <si>
    <t>priya sharma | usb hub issue in Bangalore | order#10131</t>
  </si>
  <si>
    <t>ORD-5739-C</t>
  </si>
  <si>
    <t>TKT0822</t>
  </si>
  <si>
    <t>arun kumar | wireless mouse issue in Bangalore | order#42884</t>
  </si>
  <si>
    <t>ORD-6757-C</t>
  </si>
  <si>
    <t>TKT0823</t>
  </si>
  <si>
    <t>rahul verma | usb hub issue in Delhi | order#80004</t>
  </si>
  <si>
    <t>ORD-5925-A</t>
  </si>
  <si>
    <t>TKT0824</t>
  </si>
  <si>
    <t>arun kumar | gaming keyboard issue in Hyderabad | order#37636</t>
  </si>
  <si>
    <t>ORD-6215-C</t>
  </si>
  <si>
    <t>TKT0825</t>
  </si>
  <si>
    <t>john doe | laptop stand issue in Delhi | order#54778</t>
  </si>
  <si>
    <t>TKT0826</t>
  </si>
  <si>
    <t>arun kumar | usb hub issue in Bangalore | order#98172</t>
  </si>
  <si>
    <t>ORD-9011-B</t>
  </si>
  <si>
    <t>TKT0827</t>
  </si>
  <si>
    <t>arun kumar | usb hub issue in Chennai | order#56267</t>
  </si>
  <si>
    <t>ORD-6864-B</t>
  </si>
  <si>
    <t>TKT0828</t>
  </si>
  <si>
    <t>arun kumar | wireless mouse issue in Bangalore | order#68271</t>
  </si>
  <si>
    <t>ORD-1324-B</t>
  </si>
  <si>
    <t>TKT0829</t>
  </si>
  <si>
    <t>priya sharma | wireless mouse issue in Hyderabad | order#40704</t>
  </si>
  <si>
    <t>ORD-1602-B</t>
  </si>
  <si>
    <t>TKT0830</t>
  </si>
  <si>
    <t>rahul verma | gaming keyboard issue in Chennai | order#61915</t>
  </si>
  <si>
    <t>ORD-9197-B</t>
  </si>
  <si>
    <t>TKT0831</t>
  </si>
  <si>
    <t>rahul verma | gaming keyboard issue in Hyderabad | order#87091</t>
  </si>
  <si>
    <t>ORD-2065-A</t>
  </si>
  <si>
    <t>TKT0832</t>
  </si>
  <si>
    <t>rahul verma | gaming keyboard issue in Hyderabad | order#98864</t>
  </si>
  <si>
    <t>ORD-9731-C</t>
  </si>
  <si>
    <t>TKT0833</t>
  </si>
  <si>
    <t>rahul verma | laptop stand issue in Chennai | order#98224</t>
  </si>
  <si>
    <t>ORD-6292-B</t>
  </si>
  <si>
    <t>TKT0834</t>
  </si>
  <si>
    <t>john doe | wireless mouse issue in Hyderabad | order#57378</t>
  </si>
  <si>
    <t>ORD-4678-A</t>
  </si>
  <si>
    <t>TKT0835</t>
  </si>
  <si>
    <t>meena iyer | usb hub issue in Bangalore | order#61361</t>
  </si>
  <si>
    <t>ORD-2340-C</t>
  </si>
  <si>
    <t>TKT0836</t>
  </si>
  <si>
    <t>priya sharma | laptop stand issue in Chennai | order#31558</t>
  </si>
  <si>
    <t>ORD-2029-C</t>
  </si>
  <si>
    <t>TKT0837</t>
  </si>
  <si>
    <t>arun kumar | laptop stand issue in Bangalore | order#92090</t>
  </si>
  <si>
    <t>ORD-5049-A</t>
  </si>
  <si>
    <t>TKT0838</t>
  </si>
  <si>
    <t>priya sharma | bluetooth speaker issue in Chennai | order#41030</t>
  </si>
  <si>
    <t>ORD-8184-A</t>
  </si>
  <si>
    <t>TKT0839</t>
  </si>
  <si>
    <t>rahul verma | wireless mouse issue in Chennai | order#59465</t>
  </si>
  <si>
    <t>TKT0840</t>
  </si>
  <si>
    <t>meena iyer | wireless mouse issue in Delhi | order#23346</t>
  </si>
  <si>
    <t>ORD-1855-B</t>
  </si>
  <si>
    <t>TKT0841</t>
  </si>
  <si>
    <t>meena iyer | wireless mouse issue in Hyderabad | order#88587</t>
  </si>
  <si>
    <t>ORD-1173-B</t>
  </si>
  <si>
    <t>TKT0842</t>
  </si>
  <si>
    <t>meena iyer | laptop stand issue in Hyderabad | order#95317</t>
  </si>
  <si>
    <t>ORD-8439-C</t>
  </si>
  <si>
    <t>TKT0843</t>
  </si>
  <si>
    <t>rahul verma | gaming keyboard issue in Chennai | order#88010</t>
  </si>
  <si>
    <t>ORD-4172-C</t>
  </si>
  <si>
    <t>TKT0844</t>
  </si>
  <si>
    <t>rahul verma | bluetooth speaker issue in Delhi | order#91376</t>
  </si>
  <si>
    <t>ORD-4983-A</t>
  </si>
  <si>
    <t>TKT0845</t>
  </si>
  <si>
    <t>arun kumar | gaming keyboard issue in Delhi | order#95420</t>
  </si>
  <si>
    <t>ORD-9866-A</t>
  </si>
  <si>
    <t>TKT0846</t>
  </si>
  <si>
    <t>meena iyer | bluetooth speaker issue in Hyderabad | order#58343</t>
  </si>
  <si>
    <t>ORD-3369-A</t>
  </si>
  <si>
    <t>TKT0847</t>
  </si>
  <si>
    <t>rahul verma | usb hub issue in Chennai | order#35612</t>
  </si>
  <si>
    <t>ORD-4297-A</t>
  </si>
  <si>
    <t>TKT0848</t>
  </si>
  <si>
    <t>priya sharma | laptop stand issue in Bangalore | order#84199</t>
  </si>
  <si>
    <t>ORD-5909-B</t>
  </si>
  <si>
    <t>TKT0849</t>
  </si>
  <si>
    <t>priya sharma | wireless mouse issue in Bangalore | order#38757</t>
  </si>
  <si>
    <t>ORD-4654-C</t>
  </si>
  <si>
    <t>TKT0850</t>
  </si>
  <si>
    <t>meena iyer | usb hub issue in Mumbai | order#53452</t>
  </si>
  <si>
    <t>ORD-4363-B</t>
  </si>
  <si>
    <t>TKT0851</t>
  </si>
  <si>
    <t>arun kumar | bluetooth speaker issue in Chennai | order#13934</t>
  </si>
  <si>
    <t>ORD-3333-B</t>
  </si>
  <si>
    <t>TKT0852</t>
  </si>
  <si>
    <t>priya sharma | usb hub issue in Delhi | order#36099</t>
  </si>
  <si>
    <t>ORD-3853-A</t>
  </si>
  <si>
    <t>TKT0853</t>
  </si>
  <si>
    <t>priya sharma | bluetooth speaker issue in Hyderabad | order#35688</t>
  </si>
  <si>
    <t>ORD-5289-A</t>
  </si>
  <si>
    <t>TKT0854</t>
  </si>
  <si>
    <t>priya sharma | laptop stand issue in Chennai | order#49986</t>
  </si>
  <si>
    <t>ORD-7056-B</t>
  </si>
  <si>
    <t>TKT0855</t>
  </si>
  <si>
    <t>rahul verma | usb hub issue in Bangalore | order#28931</t>
  </si>
  <si>
    <t>ORD-4140-C</t>
  </si>
  <si>
    <t>TKT0856</t>
  </si>
  <si>
    <t>john doe | bluetooth speaker issue in Hyderabad | order#42053</t>
  </si>
  <si>
    <t>ORD-4098-C</t>
  </si>
  <si>
    <t>TKT0857</t>
  </si>
  <si>
    <t>priya sharma | bluetooth speaker issue in Mumbai | order#46709</t>
  </si>
  <si>
    <t>ORD-9011-A</t>
  </si>
  <si>
    <t>TKT0858</t>
  </si>
  <si>
    <t>meena iyer | usb hub issue in Chennai | order#60871</t>
  </si>
  <si>
    <t>ORD-7131-B</t>
  </si>
  <si>
    <t>TKT0859</t>
  </si>
  <si>
    <t>priya sharma | bluetooth speaker issue in Delhi | order#74853</t>
  </si>
  <si>
    <t>ORD-7569-C</t>
  </si>
  <si>
    <t>TKT0860</t>
  </si>
  <si>
    <t>priya sharma | gaming keyboard issue in Mumbai | order#61891</t>
  </si>
  <si>
    <t>ORD-7963-B</t>
  </si>
  <si>
    <t>TKT0861</t>
  </si>
  <si>
    <t>john doe | bluetooth speaker issue in Hyderabad | order#21013</t>
  </si>
  <si>
    <t>ORD-9500-B</t>
  </si>
  <si>
    <t>TKT0862</t>
  </si>
  <si>
    <t>rahul verma | wireless mouse issue in Bangalore | order#54089</t>
  </si>
  <si>
    <t>ORD-8660-B</t>
  </si>
  <si>
    <t>TKT0863</t>
  </si>
  <si>
    <t>john doe | laptop stand issue in Delhi | order#13239</t>
  </si>
  <si>
    <t>ORD-4830-B</t>
  </si>
  <si>
    <t>TKT0864</t>
  </si>
  <si>
    <t>john doe | wireless mouse issue in Delhi | order#81650</t>
  </si>
  <si>
    <t>ORD-5528-A</t>
  </si>
  <si>
    <t>TKT0865</t>
  </si>
  <si>
    <t>arun kumar | wireless mouse issue in Delhi | order#36254</t>
  </si>
  <si>
    <t>ORD-6394-B</t>
  </si>
  <si>
    <t>TKT0866</t>
  </si>
  <si>
    <t>john doe | gaming keyboard issue in Hyderabad | order#44227</t>
  </si>
  <si>
    <t>ORD-5617-B</t>
  </si>
  <si>
    <t>TKT0867</t>
  </si>
  <si>
    <t>meena iyer | usb hub issue in Chennai | order#77193</t>
  </si>
  <si>
    <t>ORD-4728-A</t>
  </si>
  <si>
    <t>TKT0868</t>
  </si>
  <si>
    <t>meena iyer | gaming keyboard issue in Hyderabad | order#54650</t>
  </si>
  <si>
    <t>ORD-4077-B</t>
  </si>
  <si>
    <t>TKT0869</t>
  </si>
  <si>
    <t>priya sharma | laptop stand issue in Bangalore | order#28212</t>
  </si>
  <si>
    <t>ORD-6006-C</t>
  </si>
  <si>
    <t>TKT0870</t>
  </si>
  <si>
    <t>meena iyer | bluetooth speaker issue in Delhi | order#65799</t>
  </si>
  <si>
    <t>ORD-9808-B</t>
  </si>
  <si>
    <t>TKT0871</t>
  </si>
  <si>
    <t>rahul verma | wireless mouse issue in Hyderabad | order#30144</t>
  </si>
  <si>
    <t>ORD-7404-B</t>
  </si>
  <si>
    <t>TKT0872</t>
  </si>
  <si>
    <t>meena iyer | wireless mouse issue in Hyderabad | order#72230</t>
  </si>
  <si>
    <t>ORD-8397-C</t>
  </si>
  <si>
    <t>TKT0873</t>
  </si>
  <si>
    <t>arun kumar | gaming keyboard issue in Chennai | order#89084</t>
  </si>
  <si>
    <t>ORD-4058-A</t>
  </si>
  <si>
    <t>TKT0874</t>
  </si>
  <si>
    <t>meena iyer | bluetooth speaker issue in Mumbai | order#96451</t>
  </si>
  <si>
    <t>ORD-8449-A</t>
  </si>
  <si>
    <t>TKT0875</t>
  </si>
  <si>
    <t>rahul verma | wireless mouse issue in Mumbai | order#61262</t>
  </si>
  <si>
    <t>ORD-3115-C</t>
  </si>
  <si>
    <t>TKT0876</t>
  </si>
  <si>
    <t>meena iyer | wireless mouse issue in Bangalore | order#36958</t>
  </si>
  <si>
    <t>ORD-8778-A</t>
  </si>
  <si>
    <t>TKT0877</t>
  </si>
  <si>
    <t>rahul verma | gaming keyboard issue in Hyderabad | order#36437</t>
  </si>
  <si>
    <t>ORD-8302-A</t>
  </si>
  <si>
    <t>TKT0878</t>
  </si>
  <si>
    <t>rahul verma | gaming keyboard issue in Hyderabad | order#74350</t>
  </si>
  <si>
    <t>ORD-1640-C</t>
  </si>
  <si>
    <t>TKT0879</t>
  </si>
  <si>
    <t>john doe | laptop stand issue in Delhi | order#90350</t>
  </si>
  <si>
    <t>ORD-5081-A</t>
  </si>
  <si>
    <t>TKT0880</t>
  </si>
  <si>
    <t>meena iyer | laptop stand issue in Mumbai | order#15723</t>
  </si>
  <si>
    <t>ORD-5485-C</t>
  </si>
  <si>
    <t>TKT0881</t>
  </si>
  <si>
    <t>arun kumar | gaming keyboard issue in Bangalore | order#25889</t>
  </si>
  <si>
    <t>ORD-2723-C</t>
  </si>
  <si>
    <t>TKT0882</t>
  </si>
  <si>
    <t>meena iyer | laptop stand issue in Mumbai | order#76330</t>
  </si>
  <si>
    <t>ORD-1437-A</t>
  </si>
  <si>
    <t>TKT0883</t>
  </si>
  <si>
    <t>meena iyer | bluetooth speaker issue in Bangalore | order#14951</t>
  </si>
  <si>
    <t>ORD-2878-C</t>
  </si>
  <si>
    <t>TKT0884</t>
  </si>
  <si>
    <t>john doe | laptop stand issue in Bangalore | order#20819</t>
  </si>
  <si>
    <t>ORD-4969-C</t>
  </si>
  <si>
    <t>TKT0885</t>
  </si>
  <si>
    <t>priya sharma | laptop stand issue in Delhi | order#12367</t>
  </si>
  <si>
    <t>ORD-3903-B</t>
  </si>
  <si>
    <t>TKT0886</t>
  </si>
  <si>
    <t>rahul verma | laptop stand issue in Mumbai | order#98785</t>
  </si>
  <si>
    <t>ORD-8219-B</t>
  </si>
  <si>
    <t>TKT0887</t>
  </si>
  <si>
    <t>priya sharma | wireless mouse issue in Hyderabad | order#16259</t>
  </si>
  <si>
    <t>ORD-2684-B</t>
  </si>
  <si>
    <t>TKT0888</t>
  </si>
  <si>
    <t>meena iyer | wireless mouse issue in Hyderabad | order#59465</t>
  </si>
  <si>
    <t>ORD-7138-A</t>
  </si>
  <si>
    <t>TKT0889</t>
  </si>
  <si>
    <t>arun kumar | wireless mouse issue in Bangalore | order#54186</t>
  </si>
  <si>
    <t>ORD-2035-A</t>
  </si>
  <si>
    <t>TKT0890</t>
  </si>
  <si>
    <t>priya sharma | gaming keyboard issue in Chennai | order#24114</t>
  </si>
  <si>
    <t>ORD-4105-C</t>
  </si>
  <si>
    <t>TKT0891</t>
  </si>
  <si>
    <t>rahul verma | laptop stand issue in Bangalore | order#38020</t>
  </si>
  <si>
    <t>ORD-6298-A</t>
  </si>
  <si>
    <t>TKT0892</t>
  </si>
  <si>
    <t>meena iyer | bluetooth speaker issue in Chennai | order#70132</t>
  </si>
  <si>
    <t>ORD-5562-C</t>
  </si>
  <si>
    <t>TKT0893</t>
  </si>
  <si>
    <t>arun kumar | wireless mouse issue in Mumbai | order#88494</t>
  </si>
  <si>
    <t>ORD-9784-C</t>
  </si>
  <si>
    <t>TKT0894</t>
  </si>
  <si>
    <t>john doe | wireless mouse issue in Hyderabad | order#60930</t>
  </si>
  <si>
    <t>ORD-3177-B</t>
  </si>
  <si>
    <t>TKT0895</t>
  </si>
  <si>
    <t>john doe | laptop stand issue in Chennai | order#89761</t>
  </si>
  <si>
    <t>ORD-7264-C</t>
  </si>
  <si>
    <t>TKT0896</t>
  </si>
  <si>
    <t>rahul verma | usb hub issue in Chennai | order#90786</t>
  </si>
  <si>
    <t>ORD-4873-C</t>
  </si>
  <si>
    <t>TKT0897</t>
  </si>
  <si>
    <t>priya sharma | usb hub issue in Chennai | order#59089</t>
  </si>
  <si>
    <t>ORD-4309-A</t>
  </si>
  <si>
    <t>TKT0898</t>
  </si>
  <si>
    <t>priya sharma | wireless mouse issue in Mumbai | order#27598</t>
  </si>
  <si>
    <t>ORD-1648-C</t>
  </si>
  <si>
    <t>TKT0899</t>
  </si>
  <si>
    <t>john doe | wireless mouse issue in Mumbai | order#41752</t>
  </si>
  <si>
    <t>ORD-1885-C</t>
  </si>
  <si>
    <t>TKT0900</t>
  </si>
  <si>
    <t>priya sharma | usb hub issue in Bangalore | order#34057</t>
  </si>
  <si>
    <t>ORD-1099-A</t>
  </si>
  <si>
    <t>TKT0901</t>
  </si>
  <si>
    <t>arun kumar | gaming keyboard issue in Chennai | order#26457</t>
  </si>
  <si>
    <t>ORD-9992-A</t>
  </si>
  <si>
    <t>TKT0902</t>
  </si>
  <si>
    <t>rahul verma | wireless mouse issue in Bangalore | order#31516</t>
  </si>
  <si>
    <t>ORD-5012-B</t>
  </si>
  <si>
    <t>TKT0903</t>
  </si>
  <si>
    <t>rahul verma | gaming keyboard issue in Delhi | order#68755</t>
  </si>
  <si>
    <t>TKT0904</t>
  </si>
  <si>
    <t>john doe | laptop stand issue in Bangalore | order#67852</t>
  </si>
  <si>
    <t>ORD-8101-A</t>
  </si>
  <si>
    <t>TKT0905</t>
  </si>
  <si>
    <t>arun kumar | laptop stand issue in Bangalore | order#88011</t>
  </si>
  <si>
    <t>ORD-3878-B</t>
  </si>
  <si>
    <t>TKT0906</t>
  </si>
  <si>
    <t>meena iyer | bluetooth speaker issue in Bangalore | order#83681</t>
  </si>
  <si>
    <t>ORD-2178-B</t>
  </si>
  <si>
    <t>TKT0907</t>
  </si>
  <si>
    <t>meena iyer | gaming keyboard issue in Mumbai | order#11682</t>
  </si>
  <si>
    <t>TKT0908</t>
  </si>
  <si>
    <t>meena iyer | laptop stand issue in Delhi | order#50345</t>
  </si>
  <si>
    <t>ORD-2167-B</t>
  </si>
  <si>
    <t>TKT0909</t>
  </si>
  <si>
    <t>arun kumar | laptop stand issue in Hyderabad | order#67186</t>
  </si>
  <si>
    <t>ORD-6711-C</t>
  </si>
  <si>
    <t>TKT0910</t>
  </si>
  <si>
    <t>john doe | wireless mouse issue in Bangalore | order#41765</t>
  </si>
  <si>
    <t>ORD-6921-C</t>
  </si>
  <si>
    <t>TKT0911</t>
  </si>
  <si>
    <t>priya sharma | bluetooth speaker issue in Hyderabad | order#43330</t>
  </si>
  <si>
    <t>ORD-3644-A</t>
  </si>
  <si>
    <t>TKT0912</t>
  </si>
  <si>
    <t>arun kumar | laptop stand issue in Bangalore | order#34749</t>
  </si>
  <si>
    <t>ORD-7993-B</t>
  </si>
  <si>
    <t>TKT0913</t>
  </si>
  <si>
    <t>rahul verma | usb hub issue in Bangalore | order#21648</t>
  </si>
  <si>
    <t>ORD-6642-A</t>
  </si>
  <si>
    <t>TKT0914</t>
  </si>
  <si>
    <t>priya sharma | laptop stand issue in Delhi | order#74451</t>
  </si>
  <si>
    <t>ORD-2144-C</t>
  </si>
  <si>
    <t>TKT0915</t>
  </si>
  <si>
    <t>rahul verma | laptop stand issue in Delhi | order#33121</t>
  </si>
  <si>
    <t>ORD-3200-A</t>
  </si>
  <si>
    <t>TKT0916</t>
  </si>
  <si>
    <t>priya sharma | usb hub issue in Chennai | order#37862</t>
  </si>
  <si>
    <t>ORD-1966-C</t>
  </si>
  <si>
    <t>TKT0917</t>
  </si>
  <si>
    <t>priya sharma | bluetooth speaker issue in Bangalore | order#91844</t>
  </si>
  <si>
    <t>ORD-3721-A</t>
  </si>
  <si>
    <t>TKT0918</t>
  </si>
  <si>
    <t>arun kumar | laptop stand issue in Chennai | order#54846</t>
  </si>
  <si>
    <t>ORD-4846-B</t>
  </si>
  <si>
    <t>TKT0919</t>
  </si>
  <si>
    <t>arun kumar | wireless mouse issue in Chennai | order#97205</t>
  </si>
  <si>
    <t>ORD-2586-A</t>
  </si>
  <si>
    <t>TKT0920</t>
  </si>
  <si>
    <t>meena iyer | usb hub issue in Hyderabad | order#72027</t>
  </si>
  <si>
    <t>ORD-8036-B</t>
  </si>
  <si>
    <t>TKT0921</t>
  </si>
  <si>
    <t>john doe | bluetooth speaker issue in Mumbai | order#59602</t>
  </si>
  <si>
    <t>ORD-6833-B</t>
  </si>
  <si>
    <t>TKT0922</t>
  </si>
  <si>
    <t>arun kumar | laptop stand issue in Bangalore | order#88893</t>
  </si>
  <si>
    <t>ORD-5578-C</t>
  </si>
  <si>
    <t>TKT0923</t>
  </si>
  <si>
    <t>john doe | laptop stand issue in Hyderabad | order#64149</t>
  </si>
  <si>
    <t>ORD-1051-C</t>
  </si>
  <si>
    <t>TKT0924</t>
  </si>
  <si>
    <t>arun kumar | bluetooth speaker issue in Chennai | order#40612</t>
  </si>
  <si>
    <t>ORD-7556-C</t>
  </si>
  <si>
    <t>TKT0925</t>
  </si>
  <si>
    <t>john doe | laptop stand issue in Bangalore | order#48517</t>
  </si>
  <si>
    <t>ORD-3345-C</t>
  </si>
  <si>
    <t>TKT0926</t>
  </si>
  <si>
    <t>priya sharma | laptop stand issue in Chennai | order#71184</t>
  </si>
  <si>
    <t>ORD-2895-B</t>
  </si>
  <si>
    <t>TKT0927</t>
  </si>
  <si>
    <t>priya sharma | gaming keyboard issue in Mumbai | order#67002</t>
  </si>
  <si>
    <t>ORD-3625-B</t>
  </si>
  <si>
    <t>TKT0928</t>
  </si>
  <si>
    <t>john doe | gaming keyboard issue in Delhi | order#97225</t>
  </si>
  <si>
    <t>ORD-9060-A</t>
  </si>
  <si>
    <t>TKT0929</t>
  </si>
  <si>
    <t>priya sharma | usb hub issue in Hyderabad | order#54987</t>
  </si>
  <si>
    <t>ORD-7252-C</t>
  </si>
  <si>
    <t>TKT0930</t>
  </si>
  <si>
    <t>priya sharma | gaming keyboard issue in Delhi | order#21492</t>
  </si>
  <si>
    <t>ORD-6574-C</t>
  </si>
  <si>
    <t>TKT0931</t>
  </si>
  <si>
    <t>arun kumar | usb hub issue in Delhi | order#59832</t>
  </si>
  <si>
    <t>ORD-1027-B</t>
  </si>
  <si>
    <t>TKT0932</t>
  </si>
  <si>
    <t>rahul verma | usb hub issue in Mumbai | order#51896</t>
  </si>
  <si>
    <t>ORD-3069-C</t>
  </si>
  <si>
    <t>TKT0933</t>
  </si>
  <si>
    <t>arun kumar | laptop stand issue in Chennai | order#28966</t>
  </si>
  <si>
    <t>ORD-9189-C</t>
  </si>
  <si>
    <t>TKT0934</t>
  </si>
  <si>
    <t>priya sharma | usb hub issue in Delhi | order#88496</t>
  </si>
  <si>
    <t>ORD-9230-C</t>
  </si>
  <si>
    <t>TKT0935</t>
  </si>
  <si>
    <t>john doe | usb hub issue in Bangalore | order#48206</t>
  </si>
  <si>
    <t>ORD-1963-B</t>
  </si>
  <si>
    <t>TKT0936</t>
  </si>
  <si>
    <t>priya sharma | gaming keyboard issue in Chennai | order#61355</t>
  </si>
  <si>
    <t>ORD-3608-A</t>
  </si>
  <si>
    <t>TKT0937</t>
  </si>
  <si>
    <t>john doe | laptop stand issue in Bangalore | order#61257</t>
  </si>
  <si>
    <t>ORD-5637-B</t>
  </si>
  <si>
    <t>TKT0938</t>
  </si>
  <si>
    <t>rahul verma | laptop stand issue in Chennai | order#86072</t>
  </si>
  <si>
    <t>ORD-5981-B</t>
  </si>
  <si>
    <t>TKT0939</t>
  </si>
  <si>
    <t>rahul verma | gaming keyboard issue in Bangalore | order#28982</t>
  </si>
  <si>
    <t>ORD-4205-C</t>
  </si>
  <si>
    <t>TKT0940</t>
  </si>
  <si>
    <t>john doe | usb hub issue in Chennai | order#65982</t>
  </si>
  <si>
    <t>ORD-1922-A</t>
  </si>
  <si>
    <t>TKT0941</t>
  </si>
  <si>
    <t>meena iyer | gaming keyboard issue in Chennai | order#95209</t>
  </si>
  <si>
    <t>ORD-8107-A</t>
  </si>
  <si>
    <t>TKT0942</t>
  </si>
  <si>
    <t>priya sharma | wireless mouse issue in Chennai | order#74045</t>
  </si>
  <si>
    <t>ORD-3826-C</t>
  </si>
  <si>
    <t>TKT0943</t>
  </si>
  <si>
    <t>arun kumar | laptop stand issue in Bangalore | order#95615</t>
  </si>
  <si>
    <t>ORD-1190-A</t>
  </si>
  <si>
    <t>TKT0944</t>
  </si>
  <si>
    <t>arun kumar | wireless mouse issue in Bangalore | order#13018</t>
  </si>
  <si>
    <t>ORD-8856-B</t>
  </si>
  <si>
    <t>TKT0945</t>
  </si>
  <si>
    <t>rahul verma | gaming keyboard issue in Bangalore | order#66840</t>
  </si>
  <si>
    <t>ORD-3051-A</t>
  </si>
  <si>
    <t>TKT0946</t>
  </si>
  <si>
    <t>arun kumar | usb hub issue in Mumbai | order#61615</t>
  </si>
  <si>
    <t>ORD-9684-B</t>
  </si>
  <si>
    <t>TKT0947</t>
  </si>
  <si>
    <t>rahul verma | usb hub issue in Hyderabad | order#96321</t>
  </si>
  <si>
    <t>ORD-3948-A</t>
  </si>
  <si>
    <t>TKT0948</t>
  </si>
  <si>
    <t>john doe | wireless mouse issue in Chennai | order#37030</t>
  </si>
  <si>
    <t>TKT0949</t>
  </si>
  <si>
    <t>arun kumar | wireless mouse issue in Chennai | order#57652</t>
  </si>
  <si>
    <t>ORD-7931-C</t>
  </si>
  <si>
    <t>TKT0950</t>
  </si>
  <si>
    <t>priya sharma | bluetooth speaker issue in Chennai | order#96397</t>
  </si>
  <si>
    <t>ORD-3291-C</t>
  </si>
  <si>
    <t>TKT0951</t>
  </si>
  <si>
    <t>john doe | usb hub issue in Delhi | order#22977</t>
  </si>
  <si>
    <t>ORD-4884-A</t>
  </si>
  <si>
    <t>TKT0952</t>
  </si>
  <si>
    <t>priya sharma | bluetooth speaker issue in Mumbai | order#82361</t>
  </si>
  <si>
    <t>ORD-6882-B</t>
  </si>
  <si>
    <t>TKT0953</t>
  </si>
  <si>
    <t>rahul verma | laptop stand issue in Chennai | order#60040</t>
  </si>
  <si>
    <t>ORD-7554-B</t>
  </si>
  <si>
    <t>TKT0954</t>
  </si>
  <si>
    <t>john doe | laptop stand issue in Mumbai | order#92518</t>
  </si>
  <si>
    <t>ORD-4156-C</t>
  </si>
  <si>
    <t>TKT0955</t>
  </si>
  <si>
    <t>rahul verma | usb hub issue in Hyderabad | order#30118</t>
  </si>
  <si>
    <t>ORD-7208-A</t>
  </si>
  <si>
    <t>TKT0956</t>
  </si>
  <si>
    <t>arun kumar | bluetooth speaker issue in Chennai | order#99650</t>
  </si>
  <si>
    <t>ORD-2080-B</t>
  </si>
  <si>
    <t>TKT0957</t>
  </si>
  <si>
    <t>john doe | bluetooth speaker issue in Delhi | order#45867</t>
  </si>
  <si>
    <t>ORD-7179-A</t>
  </si>
  <si>
    <t>TKT0958</t>
  </si>
  <si>
    <t>arun kumar | wireless mouse issue in Mumbai | order#87178</t>
  </si>
  <si>
    <t>ORD-9666-B</t>
  </si>
  <si>
    <t>TKT0959</t>
  </si>
  <si>
    <t>rahul verma | bluetooth speaker issue in Hyderabad | order#32380</t>
  </si>
  <si>
    <t>ORD-3960-B</t>
  </si>
  <si>
    <t>TKT0960</t>
  </si>
  <si>
    <t>meena iyer | usb hub issue in Mumbai | order#77314</t>
  </si>
  <si>
    <t>ORD-3070-A</t>
  </si>
  <si>
    <t>TKT0961</t>
  </si>
  <si>
    <t>rahul verma | bluetooth speaker issue in Chennai | order#98895</t>
  </si>
  <si>
    <t>ORD-8500-A</t>
  </si>
  <si>
    <t>TKT0962</t>
  </si>
  <si>
    <t>john doe | laptop stand issue in Hyderabad | order#66068</t>
  </si>
  <si>
    <t>ORD-4748-B</t>
  </si>
  <si>
    <t>TKT0963</t>
  </si>
  <si>
    <t>john doe | laptop stand issue in Delhi | order#20416</t>
  </si>
  <si>
    <t>ORD-4932-A</t>
  </si>
  <si>
    <t>TKT0964</t>
  </si>
  <si>
    <t>rahul verma | wireless mouse issue in Chennai | order#74598</t>
  </si>
  <si>
    <t>ORD-9334-C</t>
  </si>
  <si>
    <t>TKT0965</t>
  </si>
  <si>
    <t>meena iyer | laptop stand issue in Hyderabad | order#63145</t>
  </si>
  <si>
    <t>ORD-4115-C</t>
  </si>
  <si>
    <t>TKT0966</t>
  </si>
  <si>
    <t>meena iyer | usb hub issue in Delhi | order#99663</t>
  </si>
  <si>
    <t>ORD-8350-A</t>
  </si>
  <si>
    <t>TKT0967</t>
  </si>
  <si>
    <t>priya sharma | wireless mouse issue in Delhi | order#56306</t>
  </si>
  <si>
    <t>ORD-9118-B</t>
  </si>
  <si>
    <t>TKT0968</t>
  </si>
  <si>
    <t>john doe | wireless mouse issue in Delhi | order#25448</t>
  </si>
  <si>
    <t>ORD-8915-B</t>
  </si>
  <si>
    <t>TKT0969</t>
  </si>
  <si>
    <t>priya sharma | wireless mouse issue in Hyderabad | order#49953</t>
  </si>
  <si>
    <t>ORD-1580-B</t>
  </si>
  <si>
    <t>TKT0970</t>
  </si>
  <si>
    <t>arun kumar | bluetooth speaker issue in Chennai | order#49105</t>
  </si>
  <si>
    <t>ORD-1084-B</t>
  </si>
  <si>
    <t>TKT0971</t>
  </si>
  <si>
    <t>meena iyer | bluetooth speaker issue in Chennai | order#74493</t>
  </si>
  <si>
    <t>ORD-9668-C</t>
  </si>
  <si>
    <t>TKT0972</t>
  </si>
  <si>
    <t>meena iyer | wireless mouse issue in Bangalore | order#96066</t>
  </si>
  <si>
    <t>ORD-8711-B</t>
  </si>
  <si>
    <t>TKT0973</t>
  </si>
  <si>
    <t>john doe | bluetooth speaker issue in Bangalore | order#45321</t>
  </si>
  <si>
    <t>ORD-8198-A</t>
  </si>
  <si>
    <t>TKT0974</t>
  </si>
  <si>
    <t>john doe | laptop stand issue in Chennai | order#24505</t>
  </si>
  <si>
    <t>ORD-1659-A</t>
  </si>
  <si>
    <t>TKT0975</t>
  </si>
  <si>
    <t>meena iyer | bluetooth speaker issue in Chennai | order#72822</t>
  </si>
  <si>
    <t>ORD-2946-B</t>
  </si>
  <si>
    <t>TKT0976</t>
  </si>
  <si>
    <t>rahul verma | laptop stand issue in Mumbai | order#75779</t>
  </si>
  <si>
    <t>ORD-7370-A</t>
  </si>
  <si>
    <t>TKT0977</t>
  </si>
  <si>
    <t>arun kumar | wireless mouse issue in Mumbai | order#75536</t>
  </si>
  <si>
    <t>ORD-4874-A</t>
  </si>
  <si>
    <t>TKT0978</t>
  </si>
  <si>
    <t>meena iyer | usb hub issue in Chennai | order#47940</t>
  </si>
  <si>
    <t>ORD-2353-B</t>
  </si>
  <si>
    <t>TKT0979</t>
  </si>
  <si>
    <t>rahul verma | gaming keyboard issue in Hyderabad | order#46849</t>
  </si>
  <si>
    <t>ORD-5052-C</t>
  </si>
  <si>
    <t>TKT0980</t>
  </si>
  <si>
    <t>priya sharma | laptop stand issue in Chennai | order#33748</t>
  </si>
  <si>
    <t>ORD-3436-A</t>
  </si>
  <si>
    <t>TKT0981</t>
  </si>
  <si>
    <t>priya sharma | laptop stand issue in Chennai | order#29163</t>
  </si>
  <si>
    <t>ORD-4270-A</t>
  </si>
  <si>
    <t>TKT0982</t>
  </si>
  <si>
    <t>meena iyer | laptop stand issue in Hyderabad | order#40333</t>
  </si>
  <si>
    <t>ORD-7980-B</t>
  </si>
  <si>
    <t>TKT0983</t>
  </si>
  <si>
    <t>rahul verma | laptop stand issue in Chennai | order#45290</t>
  </si>
  <si>
    <t>ORD-6751-C</t>
  </si>
  <si>
    <t>TKT0984</t>
  </si>
  <si>
    <t>priya sharma | bluetooth speaker issue in Chennai | order#10070</t>
  </si>
  <si>
    <t>ORD-6269-A</t>
  </si>
  <si>
    <t>TKT0985</t>
  </si>
  <si>
    <t>meena iyer | bluetooth speaker issue in Hyderabad | order#34227</t>
  </si>
  <si>
    <t>ORD-6956-B</t>
  </si>
  <si>
    <t>TKT0986</t>
  </si>
  <si>
    <t>arun kumar | wireless mouse issue in Chennai | order#57260</t>
  </si>
  <si>
    <t>ORD-9664-C</t>
  </si>
  <si>
    <t>TKT0987</t>
  </si>
  <si>
    <t>priya sharma | bluetooth speaker issue in Mumbai | order#23941</t>
  </si>
  <si>
    <t>ORD-2971-A</t>
  </si>
  <si>
    <t>TKT0988</t>
  </si>
  <si>
    <t>priya sharma | laptop stand issue in Chennai | order#91134</t>
  </si>
  <si>
    <t>ORD-8769-A</t>
  </si>
  <si>
    <t>TKT0989</t>
  </si>
  <si>
    <t>arun kumar | gaming keyboard issue in Mumbai | order#43099</t>
  </si>
  <si>
    <t>ORD-6996-B</t>
  </si>
  <si>
    <t>TKT0990</t>
  </si>
  <si>
    <t>meena iyer | wireless mouse issue in Bangalore | order#76043</t>
  </si>
  <si>
    <t>ORD-5491-C</t>
  </si>
  <si>
    <t>TKT0991</t>
  </si>
  <si>
    <t>john doe | wireless mouse issue in Hyderabad | order#62100</t>
  </si>
  <si>
    <t>ORD-9723-C</t>
  </si>
  <si>
    <t>TKT0992</t>
  </si>
  <si>
    <t>priya sharma | laptop stand issue in Hyderabad | order#61150</t>
  </si>
  <si>
    <t>ORD-5448-A</t>
  </si>
  <si>
    <t>TKT0993</t>
  </si>
  <si>
    <t>arun kumar | gaming keyboard issue in Hyderabad | order#11161</t>
  </si>
  <si>
    <t>ORD-9254-C</t>
  </si>
  <si>
    <t>TKT0994</t>
  </si>
  <si>
    <t>john doe | gaming keyboard issue in Delhi | order#25611</t>
  </si>
  <si>
    <t>ORD-1747-C</t>
  </si>
  <si>
    <t>TKT0995</t>
  </si>
  <si>
    <t>john doe | wireless mouse issue in Mumbai | order#45446</t>
  </si>
  <si>
    <t>ORD-5079-A</t>
  </si>
  <si>
    <t>TKT0996</t>
  </si>
  <si>
    <t>arun kumar | bluetooth speaker issue in Hyderabad | order#20911</t>
  </si>
  <si>
    <t>ORD-5326-C</t>
  </si>
  <si>
    <t>TKT0997</t>
  </si>
  <si>
    <t>meena iyer | usb hub issue in Delhi | order#92045</t>
  </si>
  <si>
    <t>ORD-4592-C</t>
  </si>
  <si>
    <t>TKT0998</t>
  </si>
  <si>
    <t>priya sharma | bluetooth speaker issue in Chennai | order#95698</t>
  </si>
  <si>
    <t>ORD-4377-B</t>
  </si>
  <si>
    <t>TKT0999</t>
  </si>
  <si>
    <t>john doe | bluetooth speaker issue in Mumbai | order#68465</t>
  </si>
  <si>
    <t>ORD-8109-B</t>
  </si>
  <si>
    <t>TKT1000</t>
  </si>
  <si>
    <t>meena iyer | wireless mouse issue in Bangalore | order#34251</t>
  </si>
  <si>
    <t>ORD-9036-C</t>
  </si>
  <si>
    <t>VOC</t>
  </si>
  <si>
    <t>Language_Code</t>
  </si>
  <si>
    <t>The delivery was delayed and support was slow</t>
  </si>
  <si>
    <t>en</t>
  </si>
  <si>
    <t>ta</t>
  </si>
  <si>
    <t>hi</t>
  </si>
  <si>
    <t>Not happy with the packaging</t>
  </si>
  <si>
    <t>te</t>
  </si>
  <si>
    <t>fr</t>
  </si>
  <si>
    <t>Customer service was helpful and quick</t>
  </si>
  <si>
    <t>Received a damaged item, need replacement</t>
  </si>
  <si>
    <t>Great product quality, very satisfied</t>
  </si>
  <si>
    <t>Service client excellent</t>
  </si>
  <si>
    <t>VOC in English</t>
  </si>
  <si>
    <t>பொருளின் தரம் மிகவும் நல்லது</t>
  </si>
  <si>
    <t>प्रोडक्ट की क्वालिटी बहुत अच्छी है</t>
  </si>
  <si>
    <t>డెలివరీ ఆలస్యంగా వచ్చింది</t>
  </si>
  <si>
    <t>Emballage décevant</t>
  </si>
  <si>
    <t>पैकेजिंग से खुश नहीं हूँ</t>
  </si>
  <si>
    <t>ప్రోడక్ట్ క్వాలిటీ చాలా బాగుంది</t>
  </si>
  <si>
    <t>ప్యాకేజింగ్ నచ్చలేదు</t>
  </si>
  <si>
    <t>டெலிவரி தாமதமாக வந்தது</t>
  </si>
  <si>
    <t>कस्टमर सर्विस अच्छी थी</t>
  </si>
  <si>
    <t>கேடான பொருள் கிடைத்தது, மாற்ற வேண்டும்</t>
  </si>
  <si>
    <t>பேக்கேஜிங் பிடிக்கவில்லை</t>
  </si>
  <si>
    <t>डिलीवरी देर से हुई और सपोर्ट धीमा था</t>
  </si>
  <si>
    <t>డామేజ్ అయిన ప్రోడక్ట్ వచ్చింది</t>
  </si>
  <si>
    <t>मुझे खराब प्रोडक्ट मिला, बदलना है</t>
  </si>
  <si>
    <t>Très bonne qualité du produit</t>
  </si>
  <si>
    <t>வாடிக்கையாளர் சேவை சிறப்பாக இருந்தது</t>
  </si>
  <si>
    <t>కస్టమర్ సపోర్ట్ బాగుంది</t>
  </si>
  <si>
    <t>Produit endommagé reçu</t>
  </si>
  <si>
    <t>La livraison était en retard</t>
  </si>
  <si>
    <t>Date of Interaction</t>
  </si>
  <si>
    <t>Month of Interaction</t>
  </si>
  <si>
    <t>Time of Interaction</t>
  </si>
  <si>
    <t>arjun.menon-gmail.com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</si>
</sst>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595959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595959"/>
      <name val="Calibri"/>
      <family val="2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CF492"/>
        <bgColor indexed="64"/>
      </patternFill>
    </fill>
  </fills>
  <borders count="3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rgb="FFBDFFD5"/>
      </left>
      <right style="thin">
        <color rgb="FFBDFFD5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readingOrder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 vertical="center" readingOrder="1"/>
    </xf>
    <xf numFmtId="15" fontId="2" fillId="0" borderId="1" xfId="0" applyNumberFormat="1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right" vertical="center" readingOrder="1"/>
    </xf>
    <xf numFmtId="0" fontId="0" fillId="0" borderId="0" xfId="0" applyAlignment="1">
      <alignment vertical="center" wrapText="1"/>
    </xf>
    <xf numFmtId="14" fontId="2" fillId="0" borderId="1" xfId="0" applyNumberFormat="1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 readingOrder="1"/>
    </xf>
    <xf numFmtId="0" fontId="2" fillId="0" borderId="1" xfId="0" quotePrefix="1" applyFont="1" applyBorder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0" fontId="1" fillId="2" borderId="0" xfId="0" applyFont="1" applyFill="1" applyAlignment="1">
      <alignment horizontal="left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center" readingOrder="1"/>
    </xf>
    <xf numFmtId="0" fontId="5" fillId="0" borderId="0" xfId="0" applyFont="1"/>
    <xf numFmtId="22" fontId="5" fillId="0" borderId="0" xfId="0" applyNumberFormat="1" applyFont="1"/>
    <xf numFmtId="0" fontId="6" fillId="0" borderId="1" xfId="1" applyBorder="1" applyAlignment="1">
      <alignment horizontal="center" vertical="center" readingOrder="1"/>
    </xf>
    <xf numFmtId="0" fontId="3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E6BB6A1-D767-4B93-B5E7-5A6E3D79A932}"/>
  </tableStyles>
  <colors>
    <mruColors>
      <color rgb="FFFFB48F"/>
      <color rgb="FF66FF99"/>
      <color rgb="FFFCF492"/>
      <color rgb="FFFF97B7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LEFT, RIGHT &amp; MID'!F62"/><Relationship Id="rId2" Type="http://schemas.openxmlformats.org/officeDocument/2006/relationships/hyperlink" Target="#'LEFT, RIGHT &amp; MID'!F47"/><Relationship Id="rId1" Type="http://schemas.openxmlformats.org/officeDocument/2006/relationships/hyperlink" Target="#'LEFT, RIGHT &amp; MID'!F5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UPPER, LOWER &amp; PROPER'!A47"/><Relationship Id="rId2" Type="http://schemas.openxmlformats.org/officeDocument/2006/relationships/hyperlink" Target="#'UPPER, LOWER &amp; PROPER'!A32"/><Relationship Id="rId1" Type="http://schemas.openxmlformats.org/officeDocument/2006/relationships/hyperlink" Target="#'UPPER, LOWER &amp; PROPER'!F5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TRIM and LEN'!A32"/><Relationship Id="rId1" Type="http://schemas.openxmlformats.org/officeDocument/2006/relationships/hyperlink" Target="#'TRIM and LEN'!F5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CONCAT &amp; TEXTJOIN'!A52"/><Relationship Id="rId2" Type="http://schemas.openxmlformats.org/officeDocument/2006/relationships/hyperlink" Target="#'CONCAT &amp; TEXTJOIN'!A33"/><Relationship Id="rId1" Type="http://schemas.openxmlformats.org/officeDocument/2006/relationships/hyperlink" Target="#'CONCAT &amp; TEXTJOIN'!F5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125157</xdr:colOff>
      <xdr:row>1</xdr:row>
      <xdr:rowOff>24888</xdr:rowOff>
    </xdr:to>
    <xdr:sp macro="[0]!Sheet21.left" textlink="">
      <xdr:nvSpPr>
        <xdr:cNvPr id="2" name="Graphic 7" descr="Pla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40B70-9EC0-40F4-8E54-4E4F8A4F37B0}"/>
            </a:ext>
          </a:extLst>
        </xdr:cNvPr>
        <xdr:cNvSpPr/>
      </xdr:nvSpPr>
      <xdr:spPr>
        <a:xfrm>
          <a:off x="0" y="0"/>
          <a:ext cx="734757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11</xdr:col>
      <xdr:colOff>357186</xdr:colOff>
      <xdr:row>12</xdr:row>
      <xdr:rowOff>222252</xdr:rowOff>
    </xdr:to>
    <xdr:sp macro="[0]!Sheet21.right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D1A2A9-D38A-4902-9379-A52A8928F4F4}"/>
            </a:ext>
          </a:extLst>
        </xdr:cNvPr>
        <xdr:cNvSpPr/>
      </xdr:nvSpPr>
      <xdr:spPr>
        <a:xfrm>
          <a:off x="6096000" y="2286000"/>
          <a:ext cx="966786" cy="19367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</a:p>
      </xdr:txBody>
    </xdr:sp>
    <xdr:clientData/>
  </xdr:twoCellAnchor>
  <xdr:twoCellAnchor>
    <xdr:from>
      <xdr:col>10</xdr:col>
      <xdr:colOff>0</xdr:colOff>
      <xdr:row>32</xdr:row>
      <xdr:rowOff>0</xdr:rowOff>
    </xdr:from>
    <xdr:to>
      <xdr:col>11</xdr:col>
      <xdr:colOff>357186</xdr:colOff>
      <xdr:row>32</xdr:row>
      <xdr:rowOff>222252</xdr:rowOff>
    </xdr:to>
    <xdr:sp macro="[0]!Sheet21.mid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5209C5-0690-4639-A02B-19DF07062274}"/>
            </a:ext>
          </a:extLst>
        </xdr:cNvPr>
        <xdr:cNvSpPr/>
      </xdr:nvSpPr>
      <xdr:spPr>
        <a:xfrm>
          <a:off x="6096000" y="5143500"/>
          <a:ext cx="966786" cy="19367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</a:t>
          </a:r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Next</a:t>
          </a:r>
          <a:endParaRPr lang="en-IN" sz="1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125157</xdr:colOff>
      <xdr:row>1</xdr:row>
      <xdr:rowOff>24888</xdr:rowOff>
    </xdr:to>
    <xdr:sp macro="[0]!Sheet23.upper" textlink="">
      <xdr:nvSpPr>
        <xdr:cNvPr id="2" name="Graphic 7" descr="Pla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715D66-37D1-4BAB-9D6B-D545C34E0EDE}"/>
            </a:ext>
          </a:extLst>
        </xdr:cNvPr>
        <xdr:cNvSpPr/>
      </xdr:nvSpPr>
      <xdr:spPr>
        <a:xfrm>
          <a:off x="0" y="0"/>
          <a:ext cx="734757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11</xdr:col>
      <xdr:colOff>357186</xdr:colOff>
      <xdr:row>12</xdr:row>
      <xdr:rowOff>222252</xdr:rowOff>
    </xdr:to>
    <xdr:sp macro="[0]!Sheet23.lower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E22280-A64F-4AC6-A53E-C5C93D29F6EE}"/>
            </a:ext>
          </a:extLst>
        </xdr:cNvPr>
        <xdr:cNvSpPr/>
      </xdr:nvSpPr>
      <xdr:spPr>
        <a:xfrm>
          <a:off x="6096000" y="2286000"/>
          <a:ext cx="966786" cy="19367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11</xdr:col>
      <xdr:colOff>357186</xdr:colOff>
      <xdr:row>27</xdr:row>
      <xdr:rowOff>222252</xdr:rowOff>
    </xdr:to>
    <xdr:sp macro="[0]!Sheet23.proper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01926E-2140-4EF7-81A2-05E2D30A378A}"/>
            </a:ext>
          </a:extLst>
        </xdr:cNvPr>
        <xdr:cNvSpPr/>
      </xdr:nvSpPr>
      <xdr:spPr>
        <a:xfrm>
          <a:off x="6096000" y="5143500"/>
          <a:ext cx="966786" cy="19367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</a:t>
          </a:r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Next</a:t>
          </a:r>
          <a:endParaRPr lang="en-IN" sz="1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125157</xdr:colOff>
      <xdr:row>1</xdr:row>
      <xdr:rowOff>24888</xdr:rowOff>
    </xdr:to>
    <xdr:sp macro="[0]!Sheet23.upper" textlink="">
      <xdr:nvSpPr>
        <xdr:cNvPr id="2" name="Graphic 7" descr="Pla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C18CED-3EE6-4DD1-87C9-E71553BF5AA8}"/>
            </a:ext>
          </a:extLst>
        </xdr:cNvPr>
        <xdr:cNvSpPr/>
      </xdr:nvSpPr>
      <xdr:spPr>
        <a:xfrm>
          <a:off x="0" y="0"/>
          <a:ext cx="734757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11</xdr:col>
      <xdr:colOff>357186</xdr:colOff>
      <xdr:row>12</xdr:row>
      <xdr:rowOff>222252</xdr:rowOff>
    </xdr:to>
    <xdr:sp macro="[0]!Sheet23.lower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8E986D-093C-4DCC-8144-54D1F07CE084}"/>
            </a:ext>
          </a:extLst>
        </xdr:cNvPr>
        <xdr:cNvSpPr/>
      </xdr:nvSpPr>
      <xdr:spPr>
        <a:xfrm>
          <a:off x="8620125" y="2714625"/>
          <a:ext cx="966786" cy="22225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125157</xdr:colOff>
      <xdr:row>1</xdr:row>
      <xdr:rowOff>24888</xdr:rowOff>
    </xdr:to>
    <xdr:sp macro="[0]!Sheet22.hardconcat" textlink="">
      <xdr:nvSpPr>
        <xdr:cNvPr id="2" name="Graphic 7" descr="Pla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6291DE-FD84-40F7-95ED-9F2F1CEEEE26}"/>
            </a:ext>
          </a:extLst>
        </xdr:cNvPr>
        <xdr:cNvSpPr/>
      </xdr:nvSpPr>
      <xdr:spPr>
        <a:xfrm>
          <a:off x="0" y="0"/>
          <a:ext cx="734757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11</xdr:col>
      <xdr:colOff>357186</xdr:colOff>
      <xdr:row>12</xdr:row>
      <xdr:rowOff>222252</xdr:rowOff>
    </xdr:to>
    <xdr:sp macro="[0]!Sheet22.concat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8C6427-DCF2-4C1C-8932-1DEFD3709852}"/>
            </a:ext>
          </a:extLst>
        </xdr:cNvPr>
        <xdr:cNvSpPr/>
      </xdr:nvSpPr>
      <xdr:spPr>
        <a:xfrm>
          <a:off x="8439150" y="2714625"/>
          <a:ext cx="966786" cy="22225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357186</xdr:colOff>
      <xdr:row>29</xdr:row>
      <xdr:rowOff>222252</xdr:rowOff>
    </xdr:to>
    <xdr:sp macro="[0]!Sheet22.textjoin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C2362E-0E15-426E-BB44-BDCAF3619AC8}"/>
            </a:ext>
          </a:extLst>
        </xdr:cNvPr>
        <xdr:cNvSpPr/>
      </xdr:nvSpPr>
      <xdr:spPr>
        <a:xfrm>
          <a:off x="8439150" y="6048375"/>
          <a:ext cx="966786" cy="22225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</a:t>
          </a:r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Next</a:t>
          </a:r>
          <a:endParaRPr lang="en-IN" sz="1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4.bin"/><Relationship Id="rId13" Type="http://schemas.openxmlformats.org/officeDocument/2006/relationships/printerSettings" Target="../printerSettings/printerSettings29.bin"/><Relationship Id="rId3" Type="http://schemas.openxmlformats.org/officeDocument/2006/relationships/printerSettings" Target="../printerSettings/printerSettings19.bin"/><Relationship Id="rId7" Type="http://schemas.openxmlformats.org/officeDocument/2006/relationships/printerSettings" Target="../printerSettings/printerSettings23.bin"/><Relationship Id="rId12" Type="http://schemas.openxmlformats.org/officeDocument/2006/relationships/printerSettings" Target="../printerSettings/printerSettings28.bin"/><Relationship Id="rId17" Type="http://schemas.openxmlformats.org/officeDocument/2006/relationships/drawing" Target="../drawings/drawing2.xml"/><Relationship Id="rId2" Type="http://schemas.openxmlformats.org/officeDocument/2006/relationships/printerSettings" Target="../printerSettings/printerSettings18.bin"/><Relationship Id="rId16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17.bin"/><Relationship Id="rId6" Type="http://schemas.openxmlformats.org/officeDocument/2006/relationships/printerSettings" Target="../printerSettings/printerSettings22.bin"/><Relationship Id="rId11" Type="http://schemas.openxmlformats.org/officeDocument/2006/relationships/printerSettings" Target="../printerSettings/printerSettings27.bin"/><Relationship Id="rId5" Type="http://schemas.openxmlformats.org/officeDocument/2006/relationships/printerSettings" Target="../printerSettings/printerSettings21.bin"/><Relationship Id="rId15" Type="http://schemas.openxmlformats.org/officeDocument/2006/relationships/printerSettings" Target="../printerSettings/printerSettings31.bin"/><Relationship Id="rId10" Type="http://schemas.openxmlformats.org/officeDocument/2006/relationships/printerSettings" Target="../printerSettings/printerSettings26.bin"/><Relationship Id="rId4" Type="http://schemas.openxmlformats.org/officeDocument/2006/relationships/printerSettings" Target="../printerSettings/printerSettings20.bin"/><Relationship Id="rId9" Type="http://schemas.openxmlformats.org/officeDocument/2006/relationships/printerSettings" Target="../printerSettings/printerSettings25.bin"/><Relationship Id="rId14" Type="http://schemas.openxmlformats.org/officeDocument/2006/relationships/printerSettings" Target="../printerSettings/printerSettings30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1.bin"/><Relationship Id="rId13" Type="http://schemas.openxmlformats.org/officeDocument/2006/relationships/printerSettings" Target="../printerSettings/printerSettings46.bin"/><Relationship Id="rId3" Type="http://schemas.openxmlformats.org/officeDocument/2006/relationships/printerSettings" Target="../printerSettings/printerSettings36.bin"/><Relationship Id="rId7" Type="http://schemas.openxmlformats.org/officeDocument/2006/relationships/printerSettings" Target="../printerSettings/printerSettings40.bin"/><Relationship Id="rId12" Type="http://schemas.openxmlformats.org/officeDocument/2006/relationships/printerSettings" Target="../printerSettings/printerSettings45.bin"/><Relationship Id="rId17" Type="http://schemas.openxmlformats.org/officeDocument/2006/relationships/drawing" Target="../drawings/drawing4.xml"/><Relationship Id="rId2" Type="http://schemas.openxmlformats.org/officeDocument/2006/relationships/printerSettings" Target="../printerSettings/printerSettings35.bin"/><Relationship Id="rId16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34.bin"/><Relationship Id="rId6" Type="http://schemas.openxmlformats.org/officeDocument/2006/relationships/printerSettings" Target="../printerSettings/printerSettings39.bin"/><Relationship Id="rId11" Type="http://schemas.openxmlformats.org/officeDocument/2006/relationships/printerSettings" Target="../printerSettings/printerSettings44.bin"/><Relationship Id="rId5" Type="http://schemas.openxmlformats.org/officeDocument/2006/relationships/printerSettings" Target="../printerSettings/printerSettings38.bin"/><Relationship Id="rId15" Type="http://schemas.openxmlformats.org/officeDocument/2006/relationships/printerSettings" Target="../printerSettings/printerSettings48.bin"/><Relationship Id="rId10" Type="http://schemas.openxmlformats.org/officeDocument/2006/relationships/printerSettings" Target="../printerSettings/printerSettings43.bin"/><Relationship Id="rId4" Type="http://schemas.openxmlformats.org/officeDocument/2006/relationships/printerSettings" Target="../printerSettings/printerSettings37.bin"/><Relationship Id="rId9" Type="http://schemas.openxmlformats.org/officeDocument/2006/relationships/printerSettings" Target="../printerSettings/printerSettings42.bin"/><Relationship Id="rId14" Type="http://schemas.openxmlformats.org/officeDocument/2006/relationships/printerSettings" Target="../printerSettings/printerSettings4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A694-0A2A-4197-B19F-2FA2E1673873}">
  <sheetPr codeName="Sheet21"/>
  <dimension ref="C4:L57"/>
  <sheetViews>
    <sheetView showGridLines="0" tabSelected="1" zoomScale="120" zoomScaleNormal="120" workbookViewId="0">
      <selection activeCell="F5" sqref="F5"/>
    </sheetView>
  </sheetViews>
  <sheetFormatPr defaultRowHeight="14.25" x14ac:dyDescent="0.45"/>
  <cols>
    <col min="3" max="3" width="13.59765625" bestFit="1" customWidth="1"/>
    <col min="4" max="4" width="12.3984375" bestFit="1" customWidth="1"/>
    <col min="5" max="5" width="21.86328125" bestFit="1" customWidth="1"/>
    <col min="6" max="6" width="28.1328125" bestFit="1" customWidth="1"/>
  </cols>
  <sheetData>
    <row r="4" spans="3:12" ht="18" x14ac:dyDescent="0.55000000000000004">
      <c r="C4" s="2" t="s">
        <v>6</v>
      </c>
      <c r="D4" s="2" t="s">
        <v>5</v>
      </c>
      <c r="E4" s="2" t="s">
        <v>7</v>
      </c>
      <c r="F4" s="2" t="s">
        <v>17</v>
      </c>
    </row>
    <row r="5" spans="3:12" ht="18" x14ac:dyDescent="0.45">
      <c r="C5" s="1" t="s">
        <v>0</v>
      </c>
      <c r="D5" s="1" t="s">
        <v>2</v>
      </c>
      <c r="E5" s="5">
        <v>123456787</v>
      </c>
      <c r="F5" s="1"/>
    </row>
    <row r="6" spans="3:12" ht="18" x14ac:dyDescent="0.45">
      <c r="C6" s="1" t="s">
        <v>1</v>
      </c>
      <c r="D6" s="1" t="s">
        <v>2</v>
      </c>
      <c r="E6" s="5" t="s">
        <v>11</v>
      </c>
      <c r="F6" s="1"/>
    </row>
    <row r="7" spans="3:12" ht="18.75" customHeight="1" x14ac:dyDescent="0.45">
      <c r="C7" s="1" t="s">
        <v>0</v>
      </c>
      <c r="D7" s="1" t="s">
        <v>3</v>
      </c>
      <c r="E7" s="5" t="s">
        <v>9</v>
      </c>
      <c r="F7" s="1"/>
      <c r="H7" s="19" t="s">
        <v>30</v>
      </c>
      <c r="I7" s="19"/>
      <c r="J7" s="19"/>
      <c r="K7" s="19"/>
      <c r="L7" s="19"/>
    </row>
    <row r="8" spans="3:12" ht="18" x14ac:dyDescent="0.45">
      <c r="C8" s="1" t="s">
        <v>1</v>
      </c>
      <c r="D8" s="1" t="s">
        <v>3</v>
      </c>
      <c r="E8" s="5" t="s">
        <v>10</v>
      </c>
      <c r="F8" s="1"/>
      <c r="H8" s="19"/>
      <c r="I8" s="19"/>
      <c r="J8" s="19"/>
      <c r="K8" s="19"/>
      <c r="L8" s="19"/>
    </row>
    <row r="9" spans="3:12" ht="18" x14ac:dyDescent="0.45">
      <c r="C9" s="1" t="s">
        <v>0</v>
      </c>
      <c r="D9" s="1" t="s">
        <v>4</v>
      </c>
      <c r="E9" s="5" t="s">
        <v>12</v>
      </c>
      <c r="F9" s="1"/>
    </row>
    <row r="10" spans="3:12" ht="18" x14ac:dyDescent="0.45">
      <c r="C10" s="1" t="s">
        <v>1</v>
      </c>
      <c r="D10" s="1" t="s">
        <v>4</v>
      </c>
      <c r="E10" s="5" t="s">
        <v>14</v>
      </c>
      <c r="F10" s="1"/>
    </row>
    <row r="11" spans="3:12" ht="18" x14ac:dyDescent="0.45">
      <c r="C11" s="1" t="s">
        <v>0</v>
      </c>
      <c r="D11" s="1" t="s">
        <v>2</v>
      </c>
      <c r="E11" s="5" t="s">
        <v>13</v>
      </c>
      <c r="F11" s="1"/>
    </row>
    <row r="12" spans="3:12" ht="18" x14ac:dyDescent="0.45">
      <c r="C12" s="1" t="s">
        <v>1</v>
      </c>
      <c r="D12" s="1" t="s">
        <v>3</v>
      </c>
      <c r="E12" s="5" t="s">
        <v>16</v>
      </c>
      <c r="F12" s="1"/>
    </row>
    <row r="13" spans="3:12" ht="18" x14ac:dyDescent="0.45">
      <c r="C13" s="1" t="s">
        <v>1</v>
      </c>
      <c r="D13" s="1" t="s">
        <v>4</v>
      </c>
      <c r="E13" s="5" t="s">
        <v>15</v>
      </c>
      <c r="F13" s="1"/>
    </row>
    <row r="24" spans="3:12" ht="18" x14ac:dyDescent="0.55000000000000004">
      <c r="C24" s="2" t="s">
        <v>6</v>
      </c>
      <c r="D24" s="2" t="s">
        <v>5</v>
      </c>
      <c r="E24" s="2" t="s">
        <v>7</v>
      </c>
      <c r="F24" s="2" t="s">
        <v>17</v>
      </c>
    </row>
    <row r="25" spans="3:12" ht="18" x14ac:dyDescent="0.45">
      <c r="C25" s="1" t="s">
        <v>0</v>
      </c>
      <c r="D25" s="1" t="s">
        <v>2</v>
      </c>
      <c r="E25" s="7" t="s">
        <v>8</v>
      </c>
      <c r="F25" s="1"/>
    </row>
    <row r="26" spans="3:12" ht="18" x14ac:dyDescent="0.45">
      <c r="C26" s="1" t="s">
        <v>1</v>
      </c>
      <c r="D26" s="1" t="s">
        <v>2</v>
      </c>
      <c r="E26" s="7" t="s">
        <v>11</v>
      </c>
      <c r="F26" s="1"/>
    </row>
    <row r="27" spans="3:12" ht="18.75" customHeight="1" x14ac:dyDescent="0.45">
      <c r="C27" s="1" t="s">
        <v>0</v>
      </c>
      <c r="D27" s="1" t="s">
        <v>3</v>
      </c>
      <c r="E27" s="7" t="s">
        <v>9</v>
      </c>
      <c r="F27" s="1"/>
      <c r="H27" s="19" t="s">
        <v>202</v>
      </c>
      <c r="I27" s="19"/>
      <c r="J27" s="19"/>
      <c r="K27" s="19"/>
      <c r="L27" s="19"/>
    </row>
    <row r="28" spans="3:12" ht="18" x14ac:dyDescent="0.45">
      <c r="C28" s="1" t="s">
        <v>1</v>
      </c>
      <c r="D28" s="1" t="s">
        <v>3</v>
      </c>
      <c r="E28" s="7" t="s">
        <v>10</v>
      </c>
      <c r="F28" s="1"/>
      <c r="H28" s="19"/>
      <c r="I28" s="19"/>
      <c r="J28" s="19"/>
      <c r="K28" s="19"/>
      <c r="L28" s="19"/>
    </row>
    <row r="29" spans="3:12" ht="18" x14ac:dyDescent="0.45">
      <c r="C29" s="1" t="s">
        <v>0</v>
      </c>
      <c r="D29" s="1" t="s">
        <v>4</v>
      </c>
      <c r="E29" s="7" t="s">
        <v>12</v>
      </c>
      <c r="F29" s="1"/>
    </row>
    <row r="30" spans="3:12" ht="18" x14ac:dyDescent="0.45">
      <c r="C30" s="1" t="s">
        <v>1</v>
      </c>
      <c r="D30" s="1" t="s">
        <v>4</v>
      </c>
      <c r="E30" s="7" t="s">
        <v>14</v>
      </c>
      <c r="F30" s="1"/>
    </row>
    <row r="31" spans="3:12" ht="18" x14ac:dyDescent="0.45">
      <c r="C31" s="1" t="s">
        <v>0</v>
      </c>
      <c r="D31" s="1" t="s">
        <v>2</v>
      </c>
      <c r="E31" s="7" t="s">
        <v>13</v>
      </c>
      <c r="F31" s="1"/>
    </row>
    <row r="32" spans="3:12" ht="18" x14ac:dyDescent="0.45">
      <c r="C32" s="1" t="s">
        <v>1</v>
      </c>
      <c r="D32" s="1" t="s">
        <v>3</v>
      </c>
      <c r="E32" s="7" t="s">
        <v>16</v>
      </c>
      <c r="F32" s="1"/>
    </row>
    <row r="33" spans="3:6" ht="18" x14ac:dyDescent="0.45">
      <c r="C33" s="1" t="s">
        <v>1</v>
      </c>
      <c r="D33" s="1" t="s">
        <v>4</v>
      </c>
      <c r="E33" s="7" t="s">
        <v>15</v>
      </c>
      <c r="F33" s="1"/>
    </row>
    <row r="48" spans="3:6" ht="18" x14ac:dyDescent="0.55000000000000004">
      <c r="C48" s="2" t="s">
        <v>6</v>
      </c>
      <c r="D48" s="2" t="s">
        <v>5</v>
      </c>
      <c r="E48" s="2" t="s">
        <v>7</v>
      </c>
      <c r="F48" s="2" t="s">
        <v>17</v>
      </c>
    </row>
    <row r="49" spans="3:12" ht="18" x14ac:dyDescent="0.45">
      <c r="C49" s="1" t="s">
        <v>0</v>
      </c>
      <c r="D49" s="1" t="s">
        <v>2</v>
      </c>
      <c r="E49" s="1" t="s">
        <v>57</v>
      </c>
      <c r="F49" s="1"/>
    </row>
    <row r="50" spans="3:12" ht="18" x14ac:dyDescent="0.45">
      <c r="C50" s="1" t="s">
        <v>1</v>
      </c>
      <c r="D50" s="1" t="s">
        <v>2</v>
      </c>
      <c r="E50" s="1" t="s">
        <v>58</v>
      </c>
      <c r="F50" s="1"/>
    </row>
    <row r="51" spans="3:12" ht="18.75" customHeight="1" x14ac:dyDescent="0.45">
      <c r="C51" s="1" t="s">
        <v>0</v>
      </c>
      <c r="D51" s="1" t="s">
        <v>3</v>
      </c>
      <c r="E51" s="1" t="s">
        <v>59</v>
      </c>
      <c r="F51" s="1"/>
      <c r="H51" s="19" t="s">
        <v>203</v>
      </c>
      <c r="I51" s="19"/>
      <c r="J51" s="19"/>
      <c r="K51" s="19"/>
      <c r="L51" s="19"/>
    </row>
    <row r="52" spans="3:12" ht="18" x14ac:dyDescent="0.45">
      <c r="C52" s="1" t="s">
        <v>1</v>
      </c>
      <c r="D52" s="1" t="s">
        <v>3</v>
      </c>
      <c r="E52" s="1" t="s">
        <v>60</v>
      </c>
      <c r="F52" s="1"/>
      <c r="H52" s="19"/>
      <c r="I52" s="19"/>
      <c r="J52" s="19"/>
      <c r="K52" s="19"/>
      <c r="L52" s="19"/>
    </row>
    <row r="53" spans="3:12" ht="18" x14ac:dyDescent="0.45">
      <c r="C53" s="1" t="s">
        <v>0</v>
      </c>
      <c r="D53" s="1" t="s">
        <v>4</v>
      </c>
      <c r="E53" s="1" t="s">
        <v>61</v>
      </c>
      <c r="F53" s="1"/>
    </row>
    <row r="54" spans="3:12" ht="18" x14ac:dyDescent="0.45">
      <c r="C54" s="1" t="s">
        <v>1</v>
      </c>
      <c r="D54" s="1" t="s">
        <v>4</v>
      </c>
      <c r="E54" s="1" t="s">
        <v>62</v>
      </c>
      <c r="F54" s="1"/>
    </row>
    <row r="55" spans="3:12" ht="18" x14ac:dyDescent="0.45">
      <c r="C55" s="1" t="s">
        <v>0</v>
      </c>
      <c r="D55" s="1" t="s">
        <v>2</v>
      </c>
      <c r="E55" s="1" t="s">
        <v>63</v>
      </c>
      <c r="F55" s="1"/>
    </row>
    <row r="56" spans="3:12" ht="18" x14ac:dyDescent="0.45">
      <c r="C56" s="1" t="s">
        <v>1</v>
      </c>
      <c r="D56" s="1" t="s">
        <v>3</v>
      </c>
      <c r="E56" s="1" t="s">
        <v>64</v>
      </c>
      <c r="F56" s="1"/>
    </row>
    <row r="57" spans="3:12" ht="18" x14ac:dyDescent="0.45">
      <c r="C57" s="1" t="s">
        <v>1</v>
      </c>
      <c r="D57" s="1" t="s">
        <v>4</v>
      </c>
      <c r="E57" s="1" t="s">
        <v>65</v>
      </c>
      <c r="F57" s="1"/>
    </row>
  </sheetData>
  <customSheetViews>
    <customSheetView guid="{4725FB26-BADE-478E-8CB6-C0172942A9EE}" scale="120" showGridLines="0" topLeftCell="A30">
      <selection activeCell="F35" sqref="F35"/>
      <pageMargins left="0.7" right="0.7" top="0.75" bottom="0.75" header="0.3" footer="0.3"/>
      <pageSetup orientation="portrait" r:id="rId1"/>
    </customSheetView>
    <customSheetView guid="{5B82F60B-B869-45D3-9A7D-2B843E789197}" scale="120" showGridLines="0" topLeftCell="A30">
      <selection activeCell="F35" sqref="F35"/>
      <pageMargins left="0.7" right="0.7" top="0.75" bottom="0.75" header="0.3" footer="0.3"/>
      <pageSetup orientation="portrait" r:id="rId2"/>
    </customSheetView>
    <customSheetView guid="{73745901-4C3A-49DD-83C4-0AEBB167DB63}" scale="120" showGridLines="0" topLeftCell="A30">
      <selection activeCell="F35" sqref="F35"/>
      <pageMargins left="0.7" right="0.7" top="0.75" bottom="0.75" header="0.3" footer="0.3"/>
      <pageSetup orientation="portrait" r:id="rId3"/>
    </customSheetView>
    <customSheetView guid="{AE37E6D9-7485-4A75-9115-FDBD1A6E08D0}" scale="120" showGridLines="0" topLeftCell="A30">
      <selection activeCell="F35" sqref="F35"/>
      <pageMargins left="0.7" right="0.7" top="0.75" bottom="0.75" header="0.3" footer="0.3"/>
      <pageSetup orientation="portrait" r:id="rId4"/>
    </customSheetView>
    <customSheetView guid="{28C5C254-2672-4A7F-9398-2FA6F99EE3FF}" scale="120" showGridLines="0" topLeftCell="A30">
      <selection activeCell="F35" sqref="F35"/>
      <pageMargins left="0.7" right="0.7" top="0.75" bottom="0.75" header="0.3" footer="0.3"/>
      <pageSetup orientation="portrait" r:id="rId5"/>
    </customSheetView>
    <customSheetView guid="{9967D63C-4135-4BF7-A83B-0EC0A28A8504}" scale="120" showGridLines="0" topLeftCell="A30">
      <selection activeCell="F35" sqref="F35"/>
      <pageMargins left="0.7" right="0.7" top="0.75" bottom="0.75" header="0.3" footer="0.3"/>
      <pageSetup orientation="portrait" r:id="rId6"/>
    </customSheetView>
    <customSheetView guid="{8DC39A41-9961-4A5C-8659-B8A82A01A470}" scale="120" showGridLines="0" topLeftCell="A30">
      <selection activeCell="F35" sqref="F35"/>
      <pageMargins left="0.7" right="0.7" top="0.75" bottom="0.75" header="0.3" footer="0.3"/>
      <pageSetup orientation="portrait" r:id="rId7"/>
    </customSheetView>
    <customSheetView guid="{06F040C9-291C-44DD-A11A-B2BAF2078CA1}" scale="120" showGridLines="0" topLeftCell="A16">
      <selection activeCell="F20" sqref="F20"/>
      <pageMargins left="0.7" right="0.7" top="0.75" bottom="0.75" header="0.3" footer="0.3"/>
      <pageSetup orientation="portrait" r:id="rId8"/>
    </customSheetView>
    <customSheetView guid="{AC1AC0BB-7D81-4427-80BF-DB36D3CC12C1}" scale="120" showGridLines="0">
      <selection activeCell="F5" sqref="F5"/>
      <pageMargins left="0.7" right="0.7" top="0.75" bottom="0.75" header="0.3" footer="0.3"/>
      <pageSetup orientation="portrait" r:id="rId9"/>
    </customSheetView>
    <customSheetView guid="{31F90F3E-FB31-437F-ADCE-44D58804C41D}" scale="120" showGridLines="0">
      <selection activeCell="C5" sqref="C5"/>
      <pageMargins left="0.7" right="0.7" top="0.75" bottom="0.75" header="0.3" footer="0.3"/>
      <pageSetup orientation="portrait" r:id="rId10"/>
    </customSheetView>
    <customSheetView guid="{57F7A421-8FD3-4470-813D-526D207C0AED}" scale="120" showGridLines="0">
      <selection activeCell="C5" sqref="C5"/>
      <pageMargins left="0.7" right="0.7" top="0.75" bottom="0.75" header="0.3" footer="0.3"/>
      <pageSetup orientation="portrait" r:id="rId11"/>
    </customSheetView>
    <customSheetView guid="{E065FC95-9F37-4AD0-A6AF-202A080459EB}" scale="120" showGridLines="0">
      <selection activeCell="C5" sqref="C5"/>
      <pageMargins left="0.7" right="0.7" top="0.75" bottom="0.75" header="0.3" footer="0.3"/>
      <pageSetup orientation="portrait" r:id="rId12"/>
    </customSheetView>
    <customSheetView guid="{A979108F-FF23-4967-8663-1A0C9618D854}" scale="120" showGridLines="0">
      <selection activeCell="C5" sqref="C5"/>
      <pageMargins left="0.7" right="0.7" top="0.75" bottom="0.75" header="0.3" footer="0.3"/>
      <pageSetup orientation="portrait" r:id="rId13"/>
    </customSheetView>
    <customSheetView guid="{AD9596A8-734D-48AD-8922-A58933E39AB8}" scale="120" showGridLines="0">
      <selection activeCell="C5" sqref="C5"/>
      <pageMargins left="0.7" right="0.7" top="0.75" bottom="0.75" header="0.3" footer="0.3"/>
      <pageSetup orientation="portrait" r:id="rId14"/>
    </customSheetView>
    <customSheetView guid="{DFB07116-697D-42FF-ACBD-E8FE92938B16}" scale="120" showGridLines="0">
      <selection activeCell="C5" sqref="C5"/>
      <pageMargins left="0.7" right="0.7" top="0.75" bottom="0.75" header="0.3" footer="0.3"/>
      <pageSetup orientation="portrait" r:id="rId15"/>
    </customSheetView>
  </customSheetViews>
  <mergeCells count="3">
    <mergeCell ref="H7:L8"/>
    <mergeCell ref="H27:L28"/>
    <mergeCell ref="H51:L52"/>
  </mergeCells>
  <pageMargins left="0.7" right="0.7" top="0.75" bottom="0.75" header="0.3" footer="0.3"/>
  <pageSetup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683B-6F1F-40F2-AFA4-896B0C320421}">
  <sheetPr codeName="Sheet23"/>
  <dimension ref="C4:L43"/>
  <sheetViews>
    <sheetView showGridLines="0" zoomScale="120" zoomScaleNormal="120" workbookViewId="0">
      <selection activeCell="F5" sqref="F5"/>
    </sheetView>
  </sheetViews>
  <sheetFormatPr defaultRowHeight="14.25" x14ac:dyDescent="0.45"/>
  <cols>
    <col min="3" max="3" width="13.59765625" bestFit="1" customWidth="1"/>
    <col min="4" max="4" width="12.3984375" bestFit="1" customWidth="1"/>
    <col min="5" max="5" width="20.265625" bestFit="1" customWidth="1"/>
    <col min="6" max="6" width="43.1328125" customWidth="1"/>
  </cols>
  <sheetData>
    <row r="4" spans="3:12" ht="18" x14ac:dyDescent="0.55000000000000004">
      <c r="C4" s="2" t="s">
        <v>6</v>
      </c>
      <c r="D4" s="2" t="s">
        <v>5</v>
      </c>
      <c r="E4" s="2" t="s">
        <v>7</v>
      </c>
      <c r="F4" s="2" t="s">
        <v>17</v>
      </c>
    </row>
    <row r="5" spans="3:12" ht="18" x14ac:dyDescent="0.45">
      <c r="C5" s="1" t="s">
        <v>0</v>
      </c>
      <c r="D5" s="1" t="s">
        <v>2</v>
      </c>
      <c r="E5" s="1" t="s">
        <v>8</v>
      </c>
      <c r="F5" s="1"/>
    </row>
    <row r="6" spans="3:12" ht="18" x14ac:dyDescent="0.45">
      <c r="C6" s="1" t="s">
        <v>1</v>
      </c>
      <c r="D6" s="1" t="s">
        <v>2</v>
      </c>
      <c r="E6" s="1" t="s">
        <v>11</v>
      </c>
      <c r="F6" s="1"/>
    </row>
    <row r="7" spans="3:12" ht="18.75" customHeight="1" x14ac:dyDescent="0.45">
      <c r="C7" s="1" t="s">
        <v>0</v>
      </c>
      <c r="D7" s="1" t="s">
        <v>3</v>
      </c>
      <c r="E7" s="1" t="s">
        <v>9</v>
      </c>
      <c r="F7" s="1"/>
      <c r="H7" s="19" t="s">
        <v>29</v>
      </c>
      <c r="I7" s="19"/>
      <c r="J7" s="19"/>
      <c r="K7" s="19"/>
      <c r="L7" s="19"/>
    </row>
    <row r="8" spans="3:12" ht="18" x14ac:dyDescent="0.45">
      <c r="C8" s="1" t="s">
        <v>1</v>
      </c>
      <c r="D8" s="1" t="s">
        <v>3</v>
      </c>
      <c r="E8" s="1" t="s">
        <v>10</v>
      </c>
      <c r="F8" s="1"/>
      <c r="H8" s="19"/>
      <c r="I8" s="19"/>
      <c r="J8" s="19"/>
      <c r="K8" s="19"/>
      <c r="L8" s="19"/>
    </row>
    <row r="9" spans="3:12" ht="18" x14ac:dyDescent="0.45">
      <c r="C9" s="1" t="s">
        <v>0</v>
      </c>
      <c r="D9" s="1" t="s">
        <v>4</v>
      </c>
      <c r="E9" s="1" t="s">
        <v>12</v>
      </c>
      <c r="F9" s="1"/>
    </row>
    <row r="10" spans="3:12" ht="18" x14ac:dyDescent="0.45">
      <c r="C10" s="1" t="s">
        <v>1</v>
      </c>
      <c r="D10" s="1" t="s">
        <v>4</v>
      </c>
      <c r="E10" s="1" t="s">
        <v>14</v>
      </c>
      <c r="F10" s="1"/>
    </row>
    <row r="11" spans="3:12" ht="18" x14ac:dyDescent="0.45">
      <c r="C11" s="1" t="s">
        <v>0</v>
      </c>
      <c r="D11" s="1" t="s">
        <v>2</v>
      </c>
      <c r="E11" s="1" t="s">
        <v>13</v>
      </c>
      <c r="F11" s="1"/>
    </row>
    <row r="12" spans="3:12" ht="18" x14ac:dyDescent="0.45">
      <c r="C12" s="1" t="s">
        <v>1</v>
      </c>
      <c r="D12" s="1" t="s">
        <v>3</v>
      </c>
      <c r="E12" s="1" t="s">
        <v>16</v>
      </c>
      <c r="F12" s="1"/>
    </row>
    <row r="13" spans="3:12" ht="18" x14ac:dyDescent="0.45">
      <c r="C13" s="1" t="s">
        <v>1</v>
      </c>
      <c r="D13" s="1" t="s">
        <v>4</v>
      </c>
      <c r="E13" s="1" t="s">
        <v>15</v>
      </c>
      <c r="F13" s="1"/>
    </row>
    <row r="19" spans="3:12" ht="18" x14ac:dyDescent="0.55000000000000004">
      <c r="C19" s="2" t="s">
        <v>6</v>
      </c>
      <c r="D19" s="2" t="s">
        <v>5</v>
      </c>
      <c r="E19" s="2" t="s">
        <v>7</v>
      </c>
      <c r="F19" s="2" t="s">
        <v>17</v>
      </c>
    </row>
    <row r="20" spans="3:12" ht="18" x14ac:dyDescent="0.45">
      <c r="C20" s="1" t="s">
        <v>0</v>
      </c>
      <c r="D20" s="1" t="s">
        <v>2</v>
      </c>
      <c r="E20" s="1" t="s">
        <v>27</v>
      </c>
      <c r="F20" s="1"/>
    </row>
    <row r="21" spans="3:12" ht="18" x14ac:dyDescent="0.45">
      <c r="C21" s="1" t="s">
        <v>1</v>
      </c>
      <c r="D21" s="1" t="s">
        <v>2</v>
      </c>
      <c r="E21" s="1" t="s">
        <v>26</v>
      </c>
      <c r="F21" s="1"/>
    </row>
    <row r="22" spans="3:12" ht="18.75" customHeight="1" x14ac:dyDescent="0.45">
      <c r="C22" s="1" t="s">
        <v>0</v>
      </c>
      <c r="D22" s="1" t="s">
        <v>3</v>
      </c>
      <c r="E22" s="1" t="s">
        <v>25</v>
      </c>
      <c r="F22" s="1"/>
      <c r="H22" s="19" t="s">
        <v>28</v>
      </c>
      <c r="I22" s="19"/>
      <c r="J22" s="19"/>
      <c r="K22" s="19"/>
      <c r="L22" s="19"/>
    </row>
    <row r="23" spans="3:12" ht="18" x14ac:dyDescent="0.45">
      <c r="C23" s="1" t="s">
        <v>1</v>
      </c>
      <c r="D23" s="1" t="s">
        <v>3</v>
      </c>
      <c r="E23" s="1" t="s">
        <v>10</v>
      </c>
      <c r="F23" s="1"/>
      <c r="H23" s="19"/>
      <c r="I23" s="19"/>
      <c r="J23" s="19"/>
      <c r="K23" s="19"/>
      <c r="L23" s="19"/>
    </row>
    <row r="24" spans="3:12" ht="18" x14ac:dyDescent="0.45">
      <c r="C24" s="1" t="s">
        <v>0</v>
      </c>
      <c r="D24" s="1" t="s">
        <v>4</v>
      </c>
      <c r="E24" s="1" t="s">
        <v>23</v>
      </c>
      <c r="F24" s="1"/>
    </row>
    <row r="25" spans="3:12" ht="18" x14ac:dyDescent="0.45">
      <c r="C25" s="1" t="s">
        <v>1</v>
      </c>
      <c r="D25" s="1" t="s">
        <v>4</v>
      </c>
      <c r="E25" s="1" t="s">
        <v>22</v>
      </c>
      <c r="F25" s="1"/>
    </row>
    <row r="26" spans="3:12" ht="18" x14ac:dyDescent="0.45">
      <c r="C26" s="1" t="s">
        <v>0</v>
      </c>
      <c r="D26" s="1" t="s">
        <v>2</v>
      </c>
      <c r="E26" s="1" t="s">
        <v>21</v>
      </c>
      <c r="F26" s="1"/>
    </row>
    <row r="27" spans="3:12" ht="18" x14ac:dyDescent="0.45">
      <c r="C27" s="1" t="s">
        <v>1</v>
      </c>
      <c r="D27" s="1" t="s">
        <v>3</v>
      </c>
      <c r="E27" s="1" t="s">
        <v>20</v>
      </c>
      <c r="F27" s="1"/>
    </row>
    <row r="28" spans="3:12" ht="18" x14ac:dyDescent="0.45">
      <c r="C28" s="1" t="s">
        <v>1</v>
      </c>
      <c r="D28" s="1" t="s">
        <v>4</v>
      </c>
      <c r="E28" s="1" t="s">
        <v>19</v>
      </c>
      <c r="F28" s="1"/>
    </row>
    <row r="34" spans="3:12" ht="18" x14ac:dyDescent="0.55000000000000004">
      <c r="C34" s="2" t="s">
        <v>6</v>
      </c>
      <c r="D34" s="2" t="s">
        <v>5</v>
      </c>
      <c r="E34" s="2" t="s">
        <v>7</v>
      </c>
      <c r="F34" s="2" t="s">
        <v>17</v>
      </c>
    </row>
    <row r="35" spans="3:12" ht="18" x14ac:dyDescent="0.45">
      <c r="C35" s="1" t="s">
        <v>0</v>
      </c>
      <c r="D35" s="1" t="s">
        <v>2</v>
      </c>
      <c r="E35" s="1" t="s">
        <v>27</v>
      </c>
      <c r="F35" s="1"/>
    </row>
    <row r="36" spans="3:12" ht="18" x14ac:dyDescent="0.45">
      <c r="C36" s="1" t="s">
        <v>1</v>
      </c>
      <c r="D36" s="1" t="s">
        <v>2</v>
      </c>
      <c r="E36" s="1" t="s">
        <v>26</v>
      </c>
      <c r="F36" s="1"/>
    </row>
    <row r="37" spans="3:12" ht="18.75" customHeight="1" x14ac:dyDescent="0.45">
      <c r="C37" s="1" t="s">
        <v>0</v>
      </c>
      <c r="D37" s="1" t="s">
        <v>3</v>
      </c>
      <c r="E37" s="1" t="s">
        <v>25</v>
      </c>
      <c r="F37" s="1"/>
      <c r="H37" s="19" t="s">
        <v>24</v>
      </c>
      <c r="I37" s="19"/>
      <c r="J37" s="19"/>
      <c r="K37" s="19"/>
      <c r="L37" s="19"/>
    </row>
    <row r="38" spans="3:12" ht="18" x14ac:dyDescent="0.45">
      <c r="C38" s="1" t="s">
        <v>1</v>
      </c>
      <c r="D38" s="1" t="s">
        <v>3</v>
      </c>
      <c r="E38" s="1" t="s">
        <v>10</v>
      </c>
      <c r="F38" s="1"/>
      <c r="H38" s="19"/>
      <c r="I38" s="19"/>
      <c r="J38" s="19"/>
      <c r="K38" s="19"/>
      <c r="L38" s="19"/>
    </row>
    <row r="39" spans="3:12" ht="18" x14ac:dyDescent="0.45">
      <c r="C39" s="1" t="s">
        <v>0</v>
      </c>
      <c r="D39" s="1" t="s">
        <v>4</v>
      </c>
      <c r="E39" s="1" t="s">
        <v>23</v>
      </c>
      <c r="F39" s="1"/>
    </row>
    <row r="40" spans="3:12" ht="18" x14ac:dyDescent="0.45">
      <c r="C40" s="1" t="s">
        <v>1</v>
      </c>
      <c r="D40" s="1" t="s">
        <v>4</v>
      </c>
      <c r="E40" s="1" t="s">
        <v>22</v>
      </c>
      <c r="F40" s="1"/>
    </row>
    <row r="41" spans="3:12" ht="18" x14ac:dyDescent="0.45">
      <c r="C41" s="1" t="s">
        <v>0</v>
      </c>
      <c r="D41" s="1" t="s">
        <v>2</v>
      </c>
      <c r="E41" s="1" t="s">
        <v>21</v>
      </c>
      <c r="F41" s="1"/>
    </row>
    <row r="42" spans="3:12" ht="18" x14ac:dyDescent="0.45">
      <c r="C42" s="1" t="s">
        <v>1</v>
      </c>
      <c r="D42" s="1" t="s">
        <v>3</v>
      </c>
      <c r="E42" s="1" t="s">
        <v>20</v>
      </c>
      <c r="F42" s="1"/>
    </row>
    <row r="43" spans="3:12" ht="18" x14ac:dyDescent="0.45">
      <c r="C43" s="1" t="s">
        <v>1</v>
      </c>
      <c r="D43" s="1" t="s">
        <v>4</v>
      </c>
      <c r="E43" s="1" t="s">
        <v>19</v>
      </c>
      <c r="F43" s="1"/>
    </row>
  </sheetData>
  <customSheetViews>
    <customSheetView guid="{4725FB26-BADE-478E-8CB6-C0172942A9EE}" scale="120" showGridLines="0" topLeftCell="A31">
      <selection activeCell="F35" sqref="F35"/>
      <pageMargins left="0.7" right="0.7" top="0.75" bottom="0.75" header="0.3" footer="0.3"/>
      <pageSetup orientation="portrait" r:id="rId1"/>
    </customSheetView>
    <customSheetView guid="{5B82F60B-B869-45D3-9A7D-2B843E789197}" scale="120" showGridLines="0" topLeftCell="A31">
      <selection activeCell="F35" sqref="F35"/>
      <pageMargins left="0.7" right="0.7" top="0.75" bottom="0.75" header="0.3" footer="0.3"/>
      <pageSetup orientation="portrait" r:id="rId2"/>
    </customSheetView>
    <customSheetView guid="{73745901-4C3A-49DD-83C4-0AEBB167DB63}" scale="120" showGridLines="0" topLeftCell="A31">
      <selection activeCell="F35" sqref="F35"/>
      <pageMargins left="0.7" right="0.7" top="0.75" bottom="0.75" header="0.3" footer="0.3"/>
      <pageSetup orientation="portrait" r:id="rId3"/>
    </customSheetView>
    <customSheetView guid="{AE37E6D9-7485-4A75-9115-FDBD1A6E08D0}" scale="120" showGridLines="0" topLeftCell="A31">
      <selection activeCell="F35" sqref="F35"/>
      <pageMargins left="0.7" right="0.7" top="0.75" bottom="0.75" header="0.3" footer="0.3"/>
      <pageSetup orientation="portrait" r:id="rId4"/>
    </customSheetView>
    <customSheetView guid="{28C5C254-2672-4A7F-9398-2FA6F99EE3FF}" scale="120" showGridLines="0" topLeftCell="A31">
      <selection activeCell="F35" sqref="F35"/>
      <pageMargins left="0.7" right="0.7" top="0.75" bottom="0.75" header="0.3" footer="0.3"/>
      <pageSetup orientation="portrait" r:id="rId5"/>
    </customSheetView>
    <customSheetView guid="{9967D63C-4135-4BF7-A83B-0EC0A28A8504}" scale="120" showGridLines="0" topLeftCell="A31">
      <selection activeCell="F35" sqref="F35"/>
      <pageMargins left="0.7" right="0.7" top="0.75" bottom="0.75" header="0.3" footer="0.3"/>
      <pageSetup orientation="portrait" r:id="rId6"/>
    </customSheetView>
    <customSheetView guid="{8DC39A41-9961-4A5C-8659-B8A82A01A470}" scale="120" showGridLines="0" topLeftCell="A31">
      <selection activeCell="F35" sqref="F35"/>
      <pageMargins left="0.7" right="0.7" top="0.75" bottom="0.75" header="0.3" footer="0.3"/>
      <pageSetup orientation="portrait" r:id="rId7"/>
    </customSheetView>
    <customSheetView guid="{06F040C9-291C-44DD-A11A-B2BAF2078CA1}" scale="120" showGridLines="0" topLeftCell="A31">
      <selection activeCell="F35" sqref="F35"/>
      <pageMargins left="0.7" right="0.7" top="0.75" bottom="0.75" header="0.3" footer="0.3"/>
      <pageSetup orientation="portrait" r:id="rId8"/>
    </customSheetView>
    <customSheetView guid="{AC1AC0BB-7D81-4427-80BF-DB36D3CC12C1}" scale="120" showGridLines="0" topLeftCell="A31">
      <selection activeCell="F35" sqref="F35"/>
      <pageMargins left="0.7" right="0.7" top="0.75" bottom="0.75" header="0.3" footer="0.3"/>
      <pageSetup orientation="portrait" r:id="rId9"/>
    </customSheetView>
    <customSheetView guid="{31F90F3E-FB31-437F-ADCE-44D58804C41D}" scale="120" showGridLines="0" topLeftCell="A31">
      <selection activeCell="F35" sqref="F35"/>
      <pageMargins left="0.7" right="0.7" top="0.75" bottom="0.75" header="0.3" footer="0.3"/>
      <pageSetup orientation="portrait" r:id="rId10"/>
    </customSheetView>
    <customSheetView guid="{57F7A421-8FD3-4470-813D-526D207C0AED}" scale="120" showGridLines="0" topLeftCell="A16">
      <selection activeCell="F20" sqref="F20"/>
      <pageMargins left="0.7" right="0.7" top="0.75" bottom="0.75" header="0.3" footer="0.3"/>
      <pageSetup orientation="portrait" r:id="rId11"/>
    </customSheetView>
    <customSheetView guid="{E065FC95-9F37-4AD0-A6AF-202A080459EB}" scale="120" showGridLines="0">
      <selection activeCell="F5" sqref="F5"/>
      <pageMargins left="0.7" right="0.7" top="0.75" bottom="0.75" header="0.3" footer="0.3"/>
      <pageSetup orientation="portrait" r:id="rId12"/>
    </customSheetView>
    <customSheetView guid="{A979108F-FF23-4967-8663-1A0C9618D854}" scale="120" showGridLines="0">
      <selection activeCell="B18" sqref="B18"/>
      <pageMargins left="0.7" right="0.7" top="0.75" bottom="0.75" header="0.3" footer="0.3"/>
      <pageSetup orientation="portrait" r:id="rId13"/>
    </customSheetView>
    <customSheetView guid="{AD9596A8-734D-48AD-8922-A58933E39AB8}" scale="120" showGridLines="0">
      <selection activeCell="B18" sqref="B18"/>
      <pageMargins left="0.7" right="0.7" top="0.75" bottom="0.75" header="0.3" footer="0.3"/>
      <pageSetup orientation="portrait" r:id="rId14"/>
    </customSheetView>
    <customSheetView guid="{DFB07116-697D-42FF-ACBD-E8FE92938B16}" scale="120" showGridLines="0">
      <selection activeCell="B18" sqref="B18"/>
      <pageMargins left="0.7" right="0.7" top="0.75" bottom="0.75" header="0.3" footer="0.3"/>
      <pageSetup orientation="portrait" r:id="rId15"/>
    </customSheetView>
  </customSheetViews>
  <mergeCells count="3">
    <mergeCell ref="H7:L8"/>
    <mergeCell ref="H22:L23"/>
    <mergeCell ref="H37:L38"/>
  </mergeCells>
  <pageMargins left="0.7" right="0.7" top="0.75" bottom="0.75" header="0.3" footer="0.3"/>
  <pageSetup orientation="portrait" r:id="rId16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775B-0986-4A11-A3F6-ABD4DDA1D6C8}">
  <sheetPr codeName="Sheet24"/>
  <dimension ref="C4:L49"/>
  <sheetViews>
    <sheetView showGridLines="0" zoomScale="130" zoomScaleNormal="130" workbookViewId="0">
      <selection activeCell="E5" sqref="E5"/>
    </sheetView>
  </sheetViews>
  <sheetFormatPr defaultRowHeight="14.25" x14ac:dyDescent="0.45"/>
  <cols>
    <col min="3" max="3" width="25" customWidth="1"/>
    <col min="4" max="4" width="20.59765625" bestFit="1" customWidth="1"/>
    <col min="5" max="5" width="28.3984375" customWidth="1"/>
    <col min="6" max="6" width="13.46484375" customWidth="1"/>
  </cols>
  <sheetData>
    <row r="4" spans="3:12" ht="18" x14ac:dyDescent="0.55000000000000004">
      <c r="C4" s="2" t="s">
        <v>6</v>
      </c>
      <c r="D4" s="2" t="s">
        <v>7</v>
      </c>
      <c r="E4" s="2" t="s">
        <v>159</v>
      </c>
    </row>
    <row r="5" spans="3:12" ht="18" x14ac:dyDescent="0.45">
      <c r="C5" s="5" t="s">
        <v>0</v>
      </c>
      <c r="D5" s="1" t="s">
        <v>8</v>
      </c>
      <c r="E5" s="1"/>
    </row>
    <row r="6" spans="3:12" ht="18" x14ac:dyDescent="0.45">
      <c r="C6" s="5" t="s">
        <v>1</v>
      </c>
      <c r="D6" s="1" t="s">
        <v>11</v>
      </c>
      <c r="E6" s="1"/>
    </row>
    <row r="7" spans="3:12" ht="18.75" customHeight="1" x14ac:dyDescent="0.45">
      <c r="C7" s="5" t="s">
        <v>0</v>
      </c>
      <c r="D7" s="1" t="s">
        <v>9</v>
      </c>
      <c r="E7" s="1"/>
      <c r="H7" s="19" t="s">
        <v>47</v>
      </c>
      <c r="I7" s="19"/>
      <c r="J7" s="19"/>
      <c r="K7" s="19"/>
      <c r="L7" s="19"/>
    </row>
    <row r="8" spans="3:12" ht="18" x14ac:dyDescent="0.45">
      <c r="C8" s="5" t="s">
        <v>1</v>
      </c>
      <c r="D8" s="1" t="s">
        <v>10</v>
      </c>
      <c r="E8" s="1"/>
      <c r="H8" s="19"/>
      <c r="I8" s="19"/>
      <c r="J8" s="19"/>
      <c r="K8" s="19"/>
      <c r="L8" s="19"/>
    </row>
    <row r="9" spans="3:12" ht="18" x14ac:dyDescent="0.45">
      <c r="C9" s="5" t="s">
        <v>0</v>
      </c>
      <c r="D9" s="1" t="s">
        <v>12</v>
      </c>
      <c r="E9" s="1"/>
    </row>
    <row r="10" spans="3:12" ht="18" x14ac:dyDescent="0.45">
      <c r="C10" s="5" t="s">
        <v>1</v>
      </c>
      <c r="D10" s="1" t="s">
        <v>14</v>
      </c>
      <c r="E10" s="1"/>
    </row>
    <row r="11" spans="3:12" ht="18" x14ac:dyDescent="0.45">
      <c r="C11" s="5" t="s">
        <v>0</v>
      </c>
      <c r="D11" s="1" t="s">
        <v>13</v>
      </c>
      <c r="E11" s="1"/>
    </row>
    <row r="12" spans="3:12" ht="18" x14ac:dyDescent="0.45">
      <c r="C12" s="5" t="s">
        <v>1</v>
      </c>
      <c r="D12" s="1" t="s">
        <v>16</v>
      </c>
      <c r="E12" s="1"/>
    </row>
    <row r="13" spans="3:12" ht="18" x14ac:dyDescent="0.45">
      <c r="C13" s="5" t="s">
        <v>1</v>
      </c>
      <c r="D13" s="1" t="s">
        <v>15</v>
      </c>
      <c r="E13" s="1"/>
    </row>
    <row r="26" spans="3:12" ht="18" x14ac:dyDescent="0.55000000000000004">
      <c r="C26" s="2" t="s">
        <v>6</v>
      </c>
      <c r="D26" s="2" t="s">
        <v>7</v>
      </c>
      <c r="E26" s="2" t="s">
        <v>160</v>
      </c>
    </row>
    <row r="27" spans="3:12" ht="18" x14ac:dyDescent="0.45">
      <c r="C27" s="5" t="s">
        <v>0</v>
      </c>
      <c r="D27" s="1" t="s">
        <v>48</v>
      </c>
      <c r="E27" s="1"/>
    </row>
    <row r="28" spans="3:12" ht="18" x14ac:dyDescent="0.45">
      <c r="C28" s="5" t="s">
        <v>1</v>
      </c>
      <c r="D28" s="1" t="s">
        <v>49</v>
      </c>
      <c r="E28" s="1"/>
    </row>
    <row r="29" spans="3:12" ht="18.75" customHeight="1" x14ac:dyDescent="0.45">
      <c r="C29" s="5" t="s">
        <v>0</v>
      </c>
      <c r="D29" s="1" t="s">
        <v>50</v>
      </c>
      <c r="E29" s="1"/>
      <c r="H29" s="19" t="s">
        <v>56</v>
      </c>
      <c r="I29" s="19"/>
      <c r="J29" s="19"/>
      <c r="K29" s="19"/>
      <c r="L29" s="19"/>
    </row>
    <row r="30" spans="3:12" ht="18" x14ac:dyDescent="0.45">
      <c r="C30" s="5" t="s">
        <v>1</v>
      </c>
      <c r="D30" s="1" t="s">
        <v>51</v>
      </c>
      <c r="E30" s="1"/>
      <c r="H30" s="19"/>
      <c r="I30" s="19"/>
      <c r="J30" s="19"/>
      <c r="K30" s="19"/>
      <c r="L30" s="19"/>
    </row>
    <row r="31" spans="3:12" ht="18" x14ac:dyDescent="0.45">
      <c r="C31" s="5" t="s">
        <v>0</v>
      </c>
      <c r="D31" s="1" t="s">
        <v>52</v>
      </c>
      <c r="E31" s="1"/>
    </row>
    <row r="32" spans="3:12" ht="18" x14ac:dyDescent="0.45">
      <c r="C32" s="5" t="s">
        <v>1</v>
      </c>
      <c r="D32" s="1" t="s">
        <v>22</v>
      </c>
      <c r="E32" s="1"/>
    </row>
    <row r="33" spans="3:11" ht="18" x14ac:dyDescent="0.45">
      <c r="C33" s="5" t="s">
        <v>0</v>
      </c>
      <c r="D33" s="1" t="s">
        <v>53</v>
      </c>
      <c r="E33" s="1"/>
    </row>
    <row r="34" spans="3:11" ht="18" x14ac:dyDescent="0.45">
      <c r="C34" s="5" t="s">
        <v>1</v>
      </c>
      <c r="D34" s="1" t="s">
        <v>54</v>
      </c>
      <c r="E34" s="1"/>
    </row>
    <row r="35" spans="3:11" ht="18" x14ac:dyDescent="0.45">
      <c r="C35" s="5" t="s">
        <v>1</v>
      </c>
      <c r="D35" s="1" t="s">
        <v>55</v>
      </c>
      <c r="E35" s="1"/>
    </row>
    <row r="43" spans="3:11" ht="18" x14ac:dyDescent="0.55000000000000004">
      <c r="C43" s="13" t="s">
        <v>163</v>
      </c>
      <c r="D43" s="2" t="s">
        <v>154</v>
      </c>
    </row>
    <row r="44" spans="3:11" ht="36" x14ac:dyDescent="0.45">
      <c r="C44" s="14" t="s">
        <v>155</v>
      </c>
      <c r="D44" s="1"/>
    </row>
    <row r="45" spans="3:11" ht="36" x14ac:dyDescent="0.45">
      <c r="C45" s="14" t="s">
        <v>156</v>
      </c>
      <c r="D45" s="1"/>
      <c r="F45" s="8"/>
      <c r="G45" s="19" t="s">
        <v>164</v>
      </c>
      <c r="H45" s="19"/>
      <c r="I45" s="19"/>
      <c r="J45" s="19"/>
      <c r="K45" s="19"/>
    </row>
    <row r="46" spans="3:11" ht="36" x14ac:dyDescent="0.45">
      <c r="C46" s="14" t="s">
        <v>157</v>
      </c>
      <c r="D46" s="1"/>
      <c r="F46" s="8"/>
      <c r="G46" s="19"/>
      <c r="H46" s="19"/>
      <c r="I46" s="19"/>
      <c r="J46" s="19"/>
      <c r="K46" s="19"/>
    </row>
    <row r="47" spans="3:11" ht="36" x14ac:dyDescent="0.45">
      <c r="C47" s="14" t="s">
        <v>158</v>
      </c>
      <c r="D47" s="1"/>
      <c r="F47" s="8"/>
    </row>
    <row r="48" spans="3:11" ht="36" x14ac:dyDescent="0.45">
      <c r="C48" s="14" t="s">
        <v>161</v>
      </c>
      <c r="D48" s="1"/>
      <c r="F48" s="8"/>
    </row>
    <row r="49" spans="3:6" ht="36" x14ac:dyDescent="0.45">
      <c r="C49" s="14" t="s">
        <v>162</v>
      </c>
      <c r="D49" s="1"/>
      <c r="F49" s="8"/>
    </row>
  </sheetData>
  <mergeCells count="3">
    <mergeCell ref="H7:L8"/>
    <mergeCell ref="H29:L30"/>
    <mergeCell ref="G45:K4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D8C5-F74C-4D45-887F-074B1B5B771E}">
  <dimension ref="A1:E45"/>
  <sheetViews>
    <sheetView showGridLines="0" zoomScale="120" zoomScaleNormal="120" workbookViewId="0">
      <selection activeCell="D2" sqref="D2"/>
    </sheetView>
  </sheetViews>
  <sheetFormatPr defaultRowHeight="14.25" x14ac:dyDescent="0.45"/>
  <cols>
    <col min="2" max="2" width="34" customWidth="1"/>
    <col min="3" max="3" width="29.3984375" bestFit="1" customWidth="1"/>
    <col min="4" max="4" width="25.33203125" bestFit="1" customWidth="1"/>
    <col min="5" max="5" width="15.53125" bestFit="1" customWidth="1"/>
  </cols>
  <sheetData>
    <row r="1" spans="1:5" ht="18" x14ac:dyDescent="0.55000000000000004">
      <c r="A1" s="2" t="s">
        <v>68</v>
      </c>
      <c r="B1" s="2" t="s">
        <v>141</v>
      </c>
      <c r="C1" s="2" t="s">
        <v>153</v>
      </c>
      <c r="D1" s="2" t="s">
        <v>165</v>
      </c>
    </row>
    <row r="2" spans="1:5" ht="18" x14ac:dyDescent="0.45">
      <c r="A2" s="1">
        <v>1</v>
      </c>
      <c r="B2" s="18" t="s">
        <v>70</v>
      </c>
      <c r="C2" s="1" t="s">
        <v>142</v>
      </c>
      <c r="D2" s="1"/>
    </row>
    <row r="3" spans="1:5" ht="18" x14ac:dyDescent="0.45">
      <c r="A3" s="1">
        <v>2</v>
      </c>
      <c r="B3" s="1" t="s">
        <v>143</v>
      </c>
      <c r="C3" s="1" t="s">
        <v>144</v>
      </c>
      <c r="D3" s="1"/>
    </row>
    <row r="4" spans="1:5" ht="18" x14ac:dyDescent="0.45">
      <c r="A4" s="1">
        <v>3</v>
      </c>
      <c r="B4" s="1" t="s">
        <v>84</v>
      </c>
      <c r="C4" s="1" t="s">
        <v>145</v>
      </c>
      <c r="D4" s="1"/>
    </row>
    <row r="5" spans="1:5" ht="18" x14ac:dyDescent="0.45">
      <c r="A5" s="1">
        <v>4</v>
      </c>
      <c r="B5" s="1" t="s">
        <v>146</v>
      </c>
      <c r="C5" s="1" t="s">
        <v>147</v>
      </c>
      <c r="D5" s="1"/>
    </row>
    <row r="6" spans="1:5" ht="18" x14ac:dyDescent="0.45">
      <c r="A6" s="1">
        <v>5</v>
      </c>
      <c r="B6" s="1" t="s">
        <v>148</v>
      </c>
      <c r="C6" s="1" t="s">
        <v>145</v>
      </c>
      <c r="D6" s="1"/>
    </row>
    <row r="7" spans="1:5" ht="18" x14ac:dyDescent="0.45">
      <c r="A7" s="1">
        <v>6</v>
      </c>
      <c r="B7" s="1" t="s">
        <v>149</v>
      </c>
      <c r="C7" s="1" t="s">
        <v>150</v>
      </c>
      <c r="D7" s="1"/>
    </row>
    <row r="8" spans="1:5" ht="18" x14ac:dyDescent="0.45">
      <c r="A8" s="1">
        <v>7</v>
      </c>
      <c r="B8" s="1" t="s">
        <v>151</v>
      </c>
      <c r="C8" s="1" t="s">
        <v>145</v>
      </c>
      <c r="D8" s="1"/>
    </row>
    <row r="9" spans="1:5" ht="18" x14ac:dyDescent="0.45">
      <c r="A9" s="1">
        <v>8</v>
      </c>
      <c r="B9" s="1" t="s">
        <v>152</v>
      </c>
      <c r="C9" s="1" t="s">
        <v>144</v>
      </c>
      <c r="D9" s="1"/>
    </row>
    <row r="10" spans="1:5" ht="18" x14ac:dyDescent="0.45">
      <c r="A10" s="12"/>
      <c r="B10" s="12"/>
      <c r="C10" s="12"/>
      <c r="D10" s="12"/>
      <c r="E10" s="12"/>
    </row>
    <row r="11" spans="1:5" ht="18" x14ac:dyDescent="0.45">
      <c r="A11" s="12"/>
      <c r="B11" s="12"/>
      <c r="C11" s="12"/>
      <c r="D11" s="12"/>
      <c r="E11" s="12"/>
    </row>
    <row r="12" spans="1:5" ht="18" x14ac:dyDescent="0.45">
      <c r="A12" s="12"/>
      <c r="B12" s="12"/>
      <c r="C12" s="12"/>
      <c r="D12" s="12"/>
      <c r="E12" s="12"/>
    </row>
    <row r="13" spans="1:5" ht="18" x14ac:dyDescent="0.45">
      <c r="A13" s="12"/>
      <c r="B13" s="12"/>
      <c r="C13" s="12"/>
      <c r="D13" s="12"/>
      <c r="E13" s="12"/>
    </row>
    <row r="14" spans="1:5" ht="18" x14ac:dyDescent="0.45">
      <c r="A14" s="12"/>
      <c r="B14" s="12"/>
      <c r="C14" s="12"/>
      <c r="D14" s="12"/>
      <c r="E14" s="12"/>
    </row>
    <row r="15" spans="1:5" ht="18" x14ac:dyDescent="0.45">
      <c r="A15" s="12"/>
      <c r="B15" s="12"/>
      <c r="C15" s="12"/>
      <c r="D15" s="12"/>
      <c r="E15" s="12"/>
    </row>
    <row r="16" spans="1:5" ht="18" x14ac:dyDescent="0.45">
      <c r="A16" s="12"/>
      <c r="B16" s="12"/>
      <c r="C16" s="12"/>
      <c r="D16" s="12"/>
      <c r="E16" s="12"/>
    </row>
    <row r="17" spans="1:5" ht="18" x14ac:dyDescent="0.45">
      <c r="A17" s="12"/>
      <c r="B17" s="12"/>
      <c r="C17" s="12"/>
      <c r="D17" s="12"/>
      <c r="E17" s="12"/>
    </row>
    <row r="18" spans="1:5" ht="18" x14ac:dyDescent="0.55000000000000004">
      <c r="A18" s="2" t="s">
        <v>68</v>
      </c>
      <c r="B18" s="2" t="s">
        <v>69</v>
      </c>
      <c r="C18" s="2" t="s">
        <v>81</v>
      </c>
    </row>
    <row r="19" spans="1:5" ht="18" x14ac:dyDescent="0.45">
      <c r="A19" s="1">
        <v>1</v>
      </c>
      <c r="B19" s="1" t="s">
        <v>70</v>
      </c>
      <c r="C19" s="1"/>
    </row>
    <row r="20" spans="1:5" ht="18" x14ac:dyDescent="0.45">
      <c r="A20" s="1">
        <v>2</v>
      </c>
      <c r="B20" s="1" t="s">
        <v>71</v>
      </c>
      <c r="C20" s="1"/>
    </row>
    <row r="21" spans="1:5" ht="18" x14ac:dyDescent="0.45">
      <c r="A21" s="1">
        <v>3</v>
      </c>
      <c r="B21" s="1" t="s">
        <v>72</v>
      </c>
      <c r="C21" s="1"/>
    </row>
    <row r="22" spans="1:5" ht="18" x14ac:dyDescent="0.45">
      <c r="A22" s="1">
        <v>4</v>
      </c>
      <c r="B22" s="1" t="s">
        <v>73</v>
      </c>
      <c r="C22" s="1"/>
    </row>
    <row r="23" spans="1:5" ht="18" x14ac:dyDescent="0.45">
      <c r="A23" s="1">
        <v>5</v>
      </c>
      <c r="B23" s="1" t="s">
        <v>74</v>
      </c>
      <c r="C23" s="1"/>
    </row>
    <row r="24" spans="1:5" ht="18" x14ac:dyDescent="0.45">
      <c r="A24" s="1">
        <v>6</v>
      </c>
      <c r="B24" s="1" t="s">
        <v>75</v>
      </c>
      <c r="C24" s="1"/>
    </row>
    <row r="25" spans="1:5" ht="18" x14ac:dyDescent="0.45">
      <c r="A25" s="1">
        <v>7</v>
      </c>
      <c r="B25" s="1" t="s">
        <v>76</v>
      </c>
      <c r="C25" s="1"/>
    </row>
    <row r="26" spans="1:5" ht="18" x14ac:dyDescent="0.45">
      <c r="A26" s="1">
        <v>8</v>
      </c>
      <c r="B26" s="1" t="s">
        <v>77</v>
      </c>
      <c r="C26" s="1"/>
    </row>
    <row r="27" spans="1:5" ht="18" x14ac:dyDescent="0.45">
      <c r="A27" s="1">
        <v>9</v>
      </c>
      <c r="B27" s="1" t="s">
        <v>78</v>
      </c>
      <c r="C27" s="1"/>
    </row>
    <row r="28" spans="1:5" ht="18" x14ac:dyDescent="0.45">
      <c r="A28" s="1">
        <v>10</v>
      </c>
      <c r="B28" s="1" t="s">
        <v>79</v>
      </c>
      <c r="C28" s="1"/>
    </row>
    <row r="35" spans="1:3" ht="18" x14ac:dyDescent="0.55000000000000004">
      <c r="A35" s="2" t="s">
        <v>68</v>
      </c>
      <c r="B35" s="2" t="s">
        <v>82</v>
      </c>
      <c r="C35" s="2" t="s">
        <v>83</v>
      </c>
    </row>
    <row r="36" spans="1:3" ht="18" x14ac:dyDescent="0.45">
      <c r="A36" s="1">
        <v>1</v>
      </c>
      <c r="B36" s="1" t="s">
        <v>84</v>
      </c>
      <c r="C36" s="1"/>
    </row>
    <row r="37" spans="1:3" ht="18" x14ac:dyDescent="0.45">
      <c r="A37" s="1">
        <v>2</v>
      </c>
      <c r="B37" s="1" t="s">
        <v>85</v>
      </c>
      <c r="C37" s="1"/>
    </row>
    <row r="38" spans="1:3" ht="18" x14ac:dyDescent="0.45">
      <c r="A38" s="1">
        <v>3</v>
      </c>
      <c r="B38" s="1" t="s">
        <v>86</v>
      </c>
      <c r="C38" s="1"/>
    </row>
    <row r="39" spans="1:3" ht="18" x14ac:dyDescent="0.45">
      <c r="A39" s="1">
        <v>4</v>
      </c>
      <c r="B39" s="1" t="s">
        <v>87</v>
      </c>
      <c r="C39" s="1"/>
    </row>
    <row r="40" spans="1:3" ht="18" x14ac:dyDescent="0.45">
      <c r="A40" s="1">
        <v>5</v>
      </c>
      <c r="B40" s="1" t="s">
        <v>88</v>
      </c>
      <c r="C40" s="1"/>
    </row>
    <row r="41" spans="1:3" ht="18" x14ac:dyDescent="0.45">
      <c r="A41" s="1">
        <v>6</v>
      </c>
      <c r="B41" s="1" t="s">
        <v>89</v>
      </c>
      <c r="C41" s="1"/>
    </row>
    <row r="42" spans="1:3" ht="18" x14ac:dyDescent="0.45">
      <c r="A42" s="1">
        <v>7</v>
      </c>
      <c r="B42" s="1" t="s">
        <v>90</v>
      </c>
      <c r="C42" s="1"/>
    </row>
    <row r="43" spans="1:3" ht="18" x14ac:dyDescent="0.45">
      <c r="A43" s="1">
        <v>8</v>
      </c>
      <c r="B43" s="1" t="s">
        <v>91</v>
      </c>
      <c r="C43" s="1"/>
    </row>
    <row r="44" spans="1:3" ht="18" x14ac:dyDescent="0.45">
      <c r="A44" s="1">
        <v>9</v>
      </c>
      <c r="B44" s="1" t="s">
        <v>92</v>
      </c>
      <c r="C44" s="1"/>
    </row>
    <row r="45" spans="1:3" ht="18" x14ac:dyDescent="0.45">
      <c r="A45" s="1">
        <v>10</v>
      </c>
      <c r="B45" s="1" t="s">
        <v>93</v>
      </c>
      <c r="C45" s="1"/>
    </row>
  </sheetData>
  <hyperlinks>
    <hyperlink ref="B2" r:id="rId1" xr:uid="{D57E24B0-5707-4F01-98D5-5488207B56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EA6A-7ABA-4501-8275-537294FD2839}">
  <sheetPr codeName="Sheet22"/>
  <dimension ref="C4:L49"/>
  <sheetViews>
    <sheetView showGridLines="0" zoomScale="120" zoomScaleNormal="120" workbookViewId="0">
      <selection activeCell="F5" sqref="F5"/>
    </sheetView>
  </sheetViews>
  <sheetFormatPr defaultRowHeight="14.25" x14ac:dyDescent="0.45"/>
  <cols>
    <col min="3" max="3" width="13.59765625" bestFit="1" customWidth="1"/>
    <col min="4" max="4" width="12.3984375" bestFit="1" customWidth="1"/>
    <col min="5" max="5" width="17.59765625" bestFit="1" customWidth="1"/>
    <col min="6" max="6" width="28.1328125" bestFit="1" customWidth="1"/>
  </cols>
  <sheetData>
    <row r="4" spans="3:12" ht="18" x14ac:dyDescent="0.55000000000000004">
      <c r="C4" s="2" t="s">
        <v>6</v>
      </c>
      <c r="D4" s="2" t="s">
        <v>5</v>
      </c>
      <c r="E4" s="2" t="s">
        <v>7</v>
      </c>
      <c r="F4" s="2" t="s">
        <v>66</v>
      </c>
    </row>
    <row r="5" spans="3:12" ht="18" x14ac:dyDescent="0.45">
      <c r="C5" s="1" t="s">
        <v>0</v>
      </c>
      <c r="D5" s="1" t="s">
        <v>4</v>
      </c>
      <c r="E5" s="1" t="s">
        <v>8</v>
      </c>
      <c r="F5" s="4"/>
    </row>
    <row r="6" spans="3:12" ht="18" x14ac:dyDescent="0.45">
      <c r="C6" s="1" t="s">
        <v>1</v>
      </c>
      <c r="D6" s="1" t="s">
        <v>2</v>
      </c>
      <c r="E6" s="1" t="s">
        <v>11</v>
      </c>
      <c r="F6" s="4"/>
    </row>
    <row r="7" spans="3:12" ht="18.75" customHeight="1" x14ac:dyDescent="0.45">
      <c r="C7" s="1" t="s">
        <v>0</v>
      </c>
      <c r="D7" s="1"/>
      <c r="E7" s="1" t="s">
        <v>9</v>
      </c>
      <c r="F7" s="4"/>
      <c r="H7" s="19" t="s">
        <v>67</v>
      </c>
      <c r="I7" s="19"/>
      <c r="J7" s="19"/>
      <c r="K7" s="19"/>
      <c r="L7" s="19"/>
    </row>
    <row r="8" spans="3:12" ht="18" x14ac:dyDescent="0.45">
      <c r="C8" s="1" t="s">
        <v>1</v>
      </c>
      <c r="D8" s="1" t="s">
        <v>3</v>
      </c>
      <c r="E8" s="1" t="s">
        <v>10</v>
      </c>
      <c r="F8" s="4"/>
      <c r="H8" s="19"/>
      <c r="I8" s="19"/>
      <c r="J8" s="19"/>
      <c r="K8" s="19"/>
      <c r="L8" s="19"/>
    </row>
    <row r="9" spans="3:12" ht="18" x14ac:dyDescent="0.45">
      <c r="C9" s="1" t="s">
        <v>0</v>
      </c>
      <c r="D9" s="1" t="s">
        <v>4</v>
      </c>
      <c r="E9" s="1" t="s">
        <v>12</v>
      </c>
      <c r="F9" s="4"/>
    </row>
    <row r="10" spans="3:12" ht="18" x14ac:dyDescent="0.45">
      <c r="C10" s="1" t="s">
        <v>1</v>
      </c>
      <c r="D10" s="1" t="s">
        <v>4</v>
      </c>
      <c r="E10" s="1" t="s">
        <v>14</v>
      </c>
      <c r="F10" s="4"/>
    </row>
    <row r="11" spans="3:12" ht="18" x14ac:dyDescent="0.45">
      <c r="C11" s="1" t="s">
        <v>0</v>
      </c>
      <c r="D11" s="1" t="s">
        <v>2</v>
      </c>
      <c r="E11" s="1" t="s">
        <v>13</v>
      </c>
      <c r="F11" s="4"/>
    </row>
    <row r="12" spans="3:12" ht="18" x14ac:dyDescent="0.45">
      <c r="C12" s="1" t="s">
        <v>1</v>
      </c>
      <c r="D12" s="1" t="s">
        <v>3</v>
      </c>
      <c r="E12" s="1" t="s">
        <v>16</v>
      </c>
      <c r="F12" s="4"/>
    </row>
    <row r="13" spans="3:12" ht="18" x14ac:dyDescent="0.45">
      <c r="C13" s="1" t="s">
        <v>1</v>
      </c>
      <c r="D13" s="1" t="s">
        <v>4</v>
      </c>
      <c r="E13" s="1" t="s">
        <v>15</v>
      </c>
      <c r="F13" s="4"/>
    </row>
    <row r="21" spans="3:12" ht="18" x14ac:dyDescent="0.55000000000000004">
      <c r="C21" s="2" t="s">
        <v>6</v>
      </c>
      <c r="D21" s="2" t="s">
        <v>5</v>
      </c>
      <c r="E21" s="2" t="s">
        <v>7</v>
      </c>
      <c r="F21" s="2" t="s">
        <v>17</v>
      </c>
    </row>
    <row r="22" spans="3:12" ht="18" x14ac:dyDescent="0.45">
      <c r="C22" s="1" t="s">
        <v>0</v>
      </c>
      <c r="D22" s="1" t="s">
        <v>2</v>
      </c>
      <c r="E22" s="1" t="s">
        <v>8</v>
      </c>
      <c r="F22" s="4"/>
    </row>
    <row r="23" spans="3:12" ht="18" x14ac:dyDescent="0.45">
      <c r="C23" s="1" t="s">
        <v>1</v>
      </c>
      <c r="D23" s="1" t="s">
        <v>2</v>
      </c>
      <c r="E23" s="1" t="s">
        <v>11</v>
      </c>
      <c r="F23" s="4"/>
    </row>
    <row r="24" spans="3:12" ht="18.75" customHeight="1" x14ac:dyDescent="0.45">
      <c r="C24" s="1" t="s">
        <v>0</v>
      </c>
      <c r="D24" s="1" t="s">
        <v>3</v>
      </c>
      <c r="E24" s="1" t="s">
        <v>9</v>
      </c>
      <c r="F24" s="4"/>
      <c r="H24" s="19" t="s">
        <v>18</v>
      </c>
      <c r="I24" s="19"/>
      <c r="J24" s="19"/>
      <c r="K24" s="19"/>
      <c r="L24" s="19"/>
    </row>
    <row r="25" spans="3:12" ht="18" x14ac:dyDescent="0.45">
      <c r="C25" s="1" t="s">
        <v>1</v>
      </c>
      <c r="D25" s="1"/>
      <c r="E25" s="1" t="s">
        <v>10</v>
      </c>
      <c r="F25" s="4"/>
      <c r="H25" s="19"/>
      <c r="I25" s="19"/>
      <c r="J25" s="19"/>
      <c r="K25" s="19"/>
      <c r="L25" s="19"/>
    </row>
    <row r="26" spans="3:12" ht="18" x14ac:dyDescent="0.45">
      <c r="C26" s="1" t="s">
        <v>0</v>
      </c>
      <c r="D26" s="1" t="s">
        <v>4</v>
      </c>
      <c r="E26" s="1" t="s">
        <v>12</v>
      </c>
      <c r="F26" s="4"/>
    </row>
    <row r="27" spans="3:12" ht="18" x14ac:dyDescent="0.45">
      <c r="C27" s="1" t="s">
        <v>1</v>
      </c>
      <c r="D27" s="1" t="s">
        <v>4</v>
      </c>
      <c r="E27" s="1" t="s">
        <v>14</v>
      </c>
      <c r="F27" s="4"/>
    </row>
    <row r="28" spans="3:12" ht="18" x14ac:dyDescent="0.45">
      <c r="C28" s="1" t="s">
        <v>0</v>
      </c>
      <c r="D28" s="1" t="s">
        <v>2</v>
      </c>
      <c r="E28" s="1" t="s">
        <v>13</v>
      </c>
      <c r="F28" s="4"/>
    </row>
    <row r="29" spans="3:12" ht="18" x14ac:dyDescent="0.45">
      <c r="C29" s="1" t="s">
        <v>1</v>
      </c>
      <c r="D29" s="1" t="s">
        <v>3</v>
      </c>
      <c r="E29" s="1" t="s">
        <v>16</v>
      </c>
      <c r="F29" s="4"/>
    </row>
    <row r="30" spans="3:12" ht="18" x14ac:dyDescent="0.45">
      <c r="C30" s="1" t="s">
        <v>1</v>
      </c>
      <c r="D30" s="1" t="s">
        <v>4</v>
      </c>
      <c r="E30" s="1" t="s">
        <v>15</v>
      </c>
      <c r="F30" s="4"/>
    </row>
    <row r="40" spans="3:12" ht="18" x14ac:dyDescent="0.55000000000000004">
      <c r="C40" s="2" t="s">
        <v>6</v>
      </c>
      <c r="D40" s="2" t="s">
        <v>5</v>
      </c>
      <c r="E40" s="2" t="s">
        <v>7</v>
      </c>
      <c r="F40" s="2" t="s">
        <v>17</v>
      </c>
    </row>
    <row r="41" spans="3:12" ht="18" x14ac:dyDescent="0.45">
      <c r="C41" s="1" t="s">
        <v>0</v>
      </c>
      <c r="D41" s="1" t="s">
        <v>2</v>
      </c>
      <c r="E41" s="1" t="s">
        <v>8</v>
      </c>
      <c r="F41" s="4"/>
    </row>
    <row r="42" spans="3:12" ht="18" x14ac:dyDescent="0.45">
      <c r="C42" s="1" t="s">
        <v>1</v>
      </c>
      <c r="D42" s="1" t="s">
        <v>2</v>
      </c>
      <c r="E42" s="1" t="s">
        <v>11</v>
      </c>
      <c r="F42" s="4"/>
    </row>
    <row r="43" spans="3:12" ht="18.75" customHeight="1" x14ac:dyDescent="0.45">
      <c r="C43" s="1" t="s">
        <v>0</v>
      </c>
      <c r="D43" s="1" t="s">
        <v>3</v>
      </c>
      <c r="E43" s="1" t="s">
        <v>9</v>
      </c>
      <c r="F43" s="4"/>
      <c r="H43" s="19" t="s">
        <v>18</v>
      </c>
      <c r="I43" s="19"/>
      <c r="J43" s="19"/>
      <c r="K43" s="19"/>
      <c r="L43" s="19"/>
    </row>
    <row r="44" spans="3:12" ht="18" x14ac:dyDescent="0.45">
      <c r="C44" s="1" t="s">
        <v>1</v>
      </c>
      <c r="D44" s="1"/>
      <c r="E44" s="1" t="s">
        <v>10</v>
      </c>
      <c r="F44" s="4"/>
      <c r="H44" s="19"/>
      <c r="I44" s="19"/>
      <c r="J44" s="19"/>
      <c r="K44" s="19"/>
      <c r="L44" s="19"/>
    </row>
    <row r="45" spans="3:12" ht="18" x14ac:dyDescent="0.45">
      <c r="C45" s="1" t="s">
        <v>0</v>
      </c>
      <c r="D45" s="1" t="s">
        <v>4</v>
      </c>
      <c r="E45" s="1" t="s">
        <v>12</v>
      </c>
      <c r="F45" s="4"/>
    </row>
    <row r="46" spans="3:12" ht="18" x14ac:dyDescent="0.45">
      <c r="C46" s="1" t="s">
        <v>1</v>
      </c>
      <c r="D46" s="1" t="s">
        <v>4</v>
      </c>
      <c r="E46" s="1" t="s">
        <v>14</v>
      </c>
      <c r="F46" s="4"/>
    </row>
    <row r="47" spans="3:12" ht="18" x14ac:dyDescent="0.45">
      <c r="C47" s="1" t="s">
        <v>0</v>
      </c>
      <c r="D47" s="1" t="s">
        <v>2</v>
      </c>
      <c r="E47" s="1" t="s">
        <v>13</v>
      </c>
      <c r="F47" s="4"/>
    </row>
    <row r="48" spans="3:12" ht="18" x14ac:dyDescent="0.45">
      <c r="C48" s="1" t="s">
        <v>1</v>
      </c>
      <c r="D48" s="1" t="s">
        <v>3</v>
      </c>
      <c r="E48" s="1" t="s">
        <v>16</v>
      </c>
      <c r="F48" s="4"/>
    </row>
    <row r="49" spans="3:6" ht="18" x14ac:dyDescent="0.45">
      <c r="C49" s="1" t="s">
        <v>1</v>
      </c>
      <c r="D49" s="1" t="s">
        <v>4</v>
      </c>
      <c r="E49" s="1" t="s">
        <v>15</v>
      </c>
      <c r="F49" s="4"/>
    </row>
  </sheetData>
  <customSheetViews>
    <customSheetView guid="{4725FB26-BADE-478E-8CB6-C0172942A9EE}" scale="120" showGridLines="0">
      <selection activeCell="C5" sqref="C5"/>
      <pageMargins left="0.7" right="0.7" top="0.75" bottom="0.75" header="0.3" footer="0.3"/>
      <pageSetup orientation="portrait" r:id="rId1"/>
    </customSheetView>
    <customSheetView guid="{5B82F60B-B869-45D3-9A7D-2B843E789197}" scale="120" showGridLines="0">
      <selection activeCell="C5" sqref="C5"/>
      <pageMargins left="0.7" right="0.7" top="0.75" bottom="0.75" header="0.3" footer="0.3"/>
      <pageSetup orientation="portrait" r:id="rId2"/>
    </customSheetView>
    <customSheetView guid="{73745901-4C3A-49DD-83C4-0AEBB167DB63}" scale="120" showGridLines="0">
      <selection activeCell="C5" sqref="C5"/>
      <pageMargins left="0.7" right="0.7" top="0.75" bottom="0.75" header="0.3" footer="0.3"/>
      <pageSetup orientation="portrait" r:id="rId3"/>
    </customSheetView>
    <customSheetView guid="{AE37E6D9-7485-4A75-9115-FDBD1A6E08D0}" scale="120" showGridLines="0">
      <selection activeCell="C5" sqref="C5"/>
      <pageMargins left="0.7" right="0.7" top="0.75" bottom="0.75" header="0.3" footer="0.3"/>
      <pageSetup orientation="portrait" r:id="rId4"/>
    </customSheetView>
    <customSheetView guid="{28C5C254-2672-4A7F-9398-2FA6F99EE3FF}" scale="120" showGridLines="0">
      <selection activeCell="C5" sqref="C5"/>
      <pageMargins left="0.7" right="0.7" top="0.75" bottom="0.75" header="0.3" footer="0.3"/>
      <pageSetup orientation="portrait" r:id="rId5"/>
    </customSheetView>
    <customSheetView guid="{9967D63C-4135-4BF7-A83B-0EC0A28A8504}" scale="120" showGridLines="0">
      <selection activeCell="C5" sqref="C5"/>
      <pageMargins left="0.7" right="0.7" top="0.75" bottom="0.75" header="0.3" footer="0.3"/>
      <pageSetup orientation="portrait" r:id="rId6"/>
    </customSheetView>
    <customSheetView guid="{8DC39A41-9961-4A5C-8659-B8A82A01A470}" scale="120" showGridLines="0">
      <selection activeCell="C5" sqref="C5"/>
      <pageMargins left="0.7" right="0.7" top="0.75" bottom="0.75" header="0.3" footer="0.3"/>
      <pageSetup orientation="portrait" r:id="rId7"/>
    </customSheetView>
    <customSheetView guid="{06F040C9-291C-44DD-A11A-B2BAF2078CA1}" scale="120" showGridLines="0">
      <selection activeCell="C5" sqref="C5"/>
      <pageMargins left="0.7" right="0.7" top="0.75" bottom="0.75" header="0.3" footer="0.3"/>
      <pageSetup orientation="portrait" r:id="rId8"/>
    </customSheetView>
    <customSheetView guid="{AC1AC0BB-7D81-4427-80BF-DB36D3CC12C1}" scale="120" showGridLines="0">
      <selection activeCell="C5" sqref="C5"/>
      <pageMargins left="0.7" right="0.7" top="0.75" bottom="0.75" header="0.3" footer="0.3"/>
      <pageSetup orientation="portrait" r:id="rId9"/>
    </customSheetView>
    <customSheetView guid="{31F90F3E-FB31-437F-ADCE-44D58804C41D}" scale="120" showGridLines="0">
      <selection activeCell="C5" sqref="C5"/>
      <pageMargins left="0.7" right="0.7" top="0.75" bottom="0.75" header="0.3" footer="0.3"/>
      <pageSetup orientation="portrait" r:id="rId10"/>
    </customSheetView>
    <customSheetView guid="{57F7A421-8FD3-4470-813D-526D207C0AED}" scale="120" showGridLines="0">
      <selection activeCell="C5" sqref="C5"/>
      <pageMargins left="0.7" right="0.7" top="0.75" bottom="0.75" header="0.3" footer="0.3"/>
      <pageSetup orientation="portrait" r:id="rId11"/>
    </customSheetView>
    <customSheetView guid="{E065FC95-9F37-4AD0-A6AF-202A080459EB}" scale="120" showGridLines="0">
      <selection activeCell="C5" sqref="C5"/>
      <pageMargins left="0.7" right="0.7" top="0.75" bottom="0.75" header="0.3" footer="0.3"/>
      <pageSetup orientation="portrait" r:id="rId12"/>
    </customSheetView>
    <customSheetView guid="{A979108F-FF23-4967-8663-1A0C9618D854}" scale="120" showGridLines="0" topLeftCell="A31">
      <selection activeCell="L26" sqref="L26"/>
      <pageMargins left="0.7" right="0.7" top="0.75" bottom="0.75" header="0.3" footer="0.3"/>
      <pageSetup orientation="portrait" r:id="rId13"/>
    </customSheetView>
    <customSheetView guid="{AD9596A8-734D-48AD-8922-A58933E39AB8}" scale="120" showGridLines="0" topLeftCell="A16">
      <selection activeCell="F5" sqref="F5"/>
      <pageMargins left="0.7" right="0.7" top="0.75" bottom="0.75" header="0.3" footer="0.3"/>
      <pageSetup orientation="portrait" r:id="rId14"/>
    </customSheetView>
    <customSheetView guid="{DFB07116-697D-42FF-ACBD-E8FE92938B16}" scale="120" showGridLines="0">
      <selection activeCell="F5" sqref="F5"/>
      <pageMargins left="0.7" right="0.7" top="0.75" bottom="0.75" header="0.3" footer="0.3"/>
      <pageSetup orientation="portrait" r:id="rId15"/>
    </customSheetView>
  </customSheetViews>
  <mergeCells count="3">
    <mergeCell ref="H7:L8"/>
    <mergeCell ref="H24:L25"/>
    <mergeCell ref="H43:L44"/>
  </mergeCells>
  <pageMargins left="0.7" right="0.7" top="0.75" bottom="0.75" header="0.3" footer="0.3"/>
  <pageSetup orientation="portrait" r:id="rId16"/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5338-8D7B-483D-BAEC-909AF85B115E}">
  <dimension ref="A1:D11"/>
  <sheetViews>
    <sheetView showGridLines="0" workbookViewId="0">
      <selection activeCell="C2" sqref="C2"/>
    </sheetView>
  </sheetViews>
  <sheetFormatPr defaultRowHeight="14.25" x14ac:dyDescent="0.45"/>
  <cols>
    <col min="2" max="2" width="34" customWidth="1"/>
    <col min="3" max="3" width="29.3984375" bestFit="1" customWidth="1"/>
    <col min="4" max="4" width="37.59765625" customWidth="1"/>
  </cols>
  <sheetData>
    <row r="1" spans="1:4" ht="18" x14ac:dyDescent="0.55000000000000004">
      <c r="A1" s="2" t="s">
        <v>68</v>
      </c>
      <c r="B1" s="2" t="s">
        <v>69</v>
      </c>
      <c r="C1" s="2" t="s">
        <v>36</v>
      </c>
      <c r="D1" s="2" t="s">
        <v>80</v>
      </c>
    </row>
    <row r="2" spans="1:4" ht="24.4" customHeight="1" x14ac:dyDescent="0.45">
      <c r="A2" s="1">
        <v>1</v>
      </c>
      <c r="B2" s="1" t="s">
        <v>70</v>
      </c>
      <c r="C2" s="1"/>
      <c r="D2" s="1"/>
    </row>
    <row r="3" spans="1:4" ht="24.4" customHeight="1" x14ac:dyDescent="0.45">
      <c r="A3" s="1">
        <v>2</v>
      </c>
      <c r="B3" s="1" t="s">
        <v>71</v>
      </c>
      <c r="C3" s="1"/>
      <c r="D3" s="1"/>
    </row>
    <row r="4" spans="1:4" ht="24.4" customHeight="1" x14ac:dyDescent="0.45">
      <c r="A4" s="1">
        <v>3</v>
      </c>
      <c r="B4" s="1" t="s">
        <v>72</v>
      </c>
      <c r="C4" s="1"/>
      <c r="D4" s="1"/>
    </row>
    <row r="5" spans="1:4" ht="24.4" customHeight="1" x14ac:dyDescent="0.45">
      <c r="A5" s="1">
        <v>4</v>
      </c>
      <c r="B5" s="1" t="s">
        <v>73</v>
      </c>
      <c r="C5" s="1"/>
      <c r="D5" s="1"/>
    </row>
    <row r="6" spans="1:4" ht="24.4" customHeight="1" x14ac:dyDescent="0.45">
      <c r="A6" s="1">
        <v>5</v>
      </c>
      <c r="B6" s="1" t="s">
        <v>3263</v>
      </c>
      <c r="C6" s="1"/>
      <c r="D6" s="1"/>
    </row>
    <row r="7" spans="1:4" ht="24.4" customHeight="1" x14ac:dyDescent="0.45">
      <c r="A7" s="1">
        <v>6</v>
      </c>
      <c r="B7" s="1" t="s">
        <v>75</v>
      </c>
      <c r="C7" s="1"/>
      <c r="D7" s="1"/>
    </row>
    <row r="8" spans="1:4" ht="24.4" customHeight="1" x14ac:dyDescent="0.45">
      <c r="A8" s="1">
        <v>7</v>
      </c>
      <c r="B8" s="1" t="s">
        <v>76</v>
      </c>
      <c r="C8" s="1"/>
      <c r="D8" s="1"/>
    </row>
    <row r="9" spans="1:4" ht="24.4" customHeight="1" x14ac:dyDescent="0.45">
      <c r="A9" s="1">
        <v>8</v>
      </c>
      <c r="B9" s="1" t="s">
        <v>77</v>
      </c>
      <c r="C9" s="1"/>
      <c r="D9" s="1"/>
    </row>
    <row r="10" spans="1:4" ht="24.4" customHeight="1" x14ac:dyDescent="0.45">
      <c r="A10" s="1">
        <v>9</v>
      </c>
      <c r="B10" s="1" t="s">
        <v>78</v>
      </c>
      <c r="C10" s="1"/>
      <c r="D10" s="1"/>
    </row>
    <row r="11" spans="1:4" ht="24.4" customHeight="1" x14ac:dyDescent="0.45">
      <c r="A11" s="1">
        <v>10</v>
      </c>
      <c r="B11" s="1" t="s">
        <v>79</v>
      </c>
      <c r="C11" s="1"/>
      <c r="D1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8930-949D-4945-A117-838CF36F35A8}">
  <dimension ref="A1:E61"/>
  <sheetViews>
    <sheetView showGridLines="0" zoomScale="120" zoomScaleNormal="120" workbookViewId="0">
      <selection activeCell="C2" sqref="C2"/>
    </sheetView>
  </sheetViews>
  <sheetFormatPr defaultRowHeight="14.25" x14ac:dyDescent="0.45"/>
  <cols>
    <col min="2" max="2" width="31.265625" customWidth="1"/>
    <col min="3" max="3" width="19.1328125" customWidth="1"/>
    <col min="4" max="4" width="20.06640625" customWidth="1"/>
    <col min="5" max="5" width="21.3984375" customWidth="1"/>
  </cols>
  <sheetData>
    <row r="1" spans="1:5" ht="18" x14ac:dyDescent="0.55000000000000004">
      <c r="A1" s="2" t="s">
        <v>68</v>
      </c>
      <c r="B1" s="2" t="s">
        <v>166</v>
      </c>
      <c r="C1" s="2" t="s">
        <v>177</v>
      </c>
      <c r="D1" s="2" t="s">
        <v>178</v>
      </c>
      <c r="E1" s="2" t="s">
        <v>179</v>
      </c>
    </row>
    <row r="2" spans="1:5" ht="18" x14ac:dyDescent="0.45">
      <c r="A2" s="5">
        <v>1</v>
      </c>
      <c r="B2" s="15" t="s">
        <v>167</v>
      </c>
      <c r="C2" s="15"/>
      <c r="D2" s="15"/>
      <c r="E2" s="15"/>
    </row>
    <row r="3" spans="1:5" ht="18" x14ac:dyDescent="0.45">
      <c r="A3" s="5">
        <v>2</v>
      </c>
      <c r="B3" s="15" t="s">
        <v>168</v>
      </c>
      <c r="C3" s="15"/>
      <c r="D3" s="15"/>
      <c r="E3" s="15"/>
    </row>
    <row r="4" spans="1:5" ht="18" x14ac:dyDescent="0.45">
      <c r="A4" s="5">
        <v>3</v>
      </c>
      <c r="B4" s="15" t="s">
        <v>169</v>
      </c>
      <c r="C4" s="15"/>
      <c r="D4" s="15"/>
      <c r="E4" s="15"/>
    </row>
    <row r="5" spans="1:5" ht="18" x14ac:dyDescent="0.45">
      <c r="A5" s="5">
        <v>4</v>
      </c>
      <c r="B5" s="15" t="s">
        <v>170</v>
      </c>
      <c r="C5" s="15"/>
      <c r="D5" s="15"/>
      <c r="E5" s="15"/>
    </row>
    <row r="6" spans="1:5" ht="18" x14ac:dyDescent="0.45">
      <c r="A6" s="5">
        <v>5</v>
      </c>
      <c r="B6" s="15" t="s">
        <v>171</v>
      </c>
      <c r="C6" s="15"/>
      <c r="D6" s="15"/>
      <c r="E6" s="15"/>
    </row>
    <row r="7" spans="1:5" ht="18" x14ac:dyDescent="0.45">
      <c r="A7" s="5">
        <v>6</v>
      </c>
      <c r="B7" s="15" t="s">
        <v>172</v>
      </c>
      <c r="C7" s="15"/>
      <c r="D7" s="15"/>
      <c r="E7" s="15"/>
    </row>
    <row r="8" spans="1:5" ht="18" x14ac:dyDescent="0.45">
      <c r="A8" s="5">
        <v>7</v>
      </c>
      <c r="B8" s="15" t="s">
        <v>173</v>
      </c>
      <c r="C8" s="15"/>
      <c r="D8" s="15"/>
      <c r="E8" s="15"/>
    </row>
    <row r="9" spans="1:5" ht="18" x14ac:dyDescent="0.45">
      <c r="A9" s="5">
        <v>8</v>
      </c>
      <c r="B9" s="15" t="s">
        <v>174</v>
      </c>
      <c r="C9" s="15"/>
      <c r="D9" s="15"/>
      <c r="E9" s="15"/>
    </row>
    <row r="10" spans="1:5" ht="18" x14ac:dyDescent="0.45">
      <c r="A10" s="5">
        <v>9</v>
      </c>
      <c r="B10" s="15" t="s">
        <v>175</v>
      </c>
      <c r="C10" s="15"/>
      <c r="D10" s="15"/>
      <c r="E10" s="15"/>
    </row>
    <row r="11" spans="1:5" ht="18" x14ac:dyDescent="0.45">
      <c r="A11" s="5">
        <v>10</v>
      </c>
      <c r="B11" s="15" t="s">
        <v>176</v>
      </c>
      <c r="C11" s="15"/>
      <c r="D11" s="15"/>
      <c r="E11" s="15"/>
    </row>
    <row r="17" spans="1:5" ht="18" x14ac:dyDescent="0.55000000000000004">
      <c r="A17" s="2" t="s">
        <v>68</v>
      </c>
      <c r="B17" s="2" t="s">
        <v>166</v>
      </c>
      <c r="C17" s="2" t="s">
        <v>177</v>
      </c>
      <c r="D17" s="2" t="s">
        <v>178</v>
      </c>
      <c r="E17" s="2" t="s">
        <v>179</v>
      </c>
    </row>
    <row r="18" spans="1:5" ht="18" x14ac:dyDescent="0.45">
      <c r="A18" s="5">
        <v>1</v>
      </c>
      <c r="B18" s="15" t="s">
        <v>180</v>
      </c>
      <c r="C18" s="15"/>
      <c r="D18" s="15"/>
      <c r="E18" s="15"/>
    </row>
    <row r="19" spans="1:5" ht="18" x14ac:dyDescent="0.45">
      <c r="A19" s="5">
        <v>2</v>
      </c>
      <c r="B19" s="15" t="s">
        <v>168</v>
      </c>
      <c r="C19" s="15"/>
      <c r="D19" s="15"/>
      <c r="E19" s="15"/>
    </row>
    <row r="20" spans="1:5" ht="18" x14ac:dyDescent="0.45">
      <c r="A20" s="5">
        <v>3</v>
      </c>
      <c r="B20" s="15" t="s">
        <v>181</v>
      </c>
      <c r="C20" s="15"/>
      <c r="D20" s="15"/>
      <c r="E20" s="15"/>
    </row>
    <row r="21" spans="1:5" ht="18" x14ac:dyDescent="0.45">
      <c r="A21" s="5">
        <v>4</v>
      </c>
      <c r="B21" s="15" t="s">
        <v>170</v>
      </c>
      <c r="C21" s="15"/>
      <c r="D21" s="15"/>
      <c r="E21" s="15"/>
    </row>
    <row r="22" spans="1:5" ht="18" x14ac:dyDescent="0.45">
      <c r="A22" s="5">
        <v>5</v>
      </c>
      <c r="B22" s="15" t="s">
        <v>182</v>
      </c>
      <c r="C22" s="15"/>
      <c r="D22" s="15"/>
      <c r="E22" s="15"/>
    </row>
    <row r="23" spans="1:5" ht="18" x14ac:dyDescent="0.45">
      <c r="A23" s="5">
        <v>6</v>
      </c>
      <c r="B23" s="15" t="s">
        <v>183</v>
      </c>
      <c r="C23" s="15"/>
      <c r="D23" s="15"/>
      <c r="E23" s="15"/>
    </row>
    <row r="24" spans="1:5" ht="18" x14ac:dyDescent="0.45">
      <c r="A24" s="5">
        <v>7</v>
      </c>
      <c r="B24" s="15" t="s">
        <v>173</v>
      </c>
      <c r="C24" s="15"/>
      <c r="D24" s="15"/>
      <c r="E24" s="15"/>
    </row>
    <row r="25" spans="1:5" ht="18" x14ac:dyDescent="0.45">
      <c r="A25" s="5">
        <v>8</v>
      </c>
      <c r="B25" s="15" t="s">
        <v>184</v>
      </c>
      <c r="C25" s="15"/>
      <c r="D25" s="15"/>
      <c r="E25" s="15"/>
    </row>
    <row r="26" spans="1:5" ht="18" x14ac:dyDescent="0.45">
      <c r="A26" s="5">
        <v>9</v>
      </c>
      <c r="B26" s="15" t="s">
        <v>185</v>
      </c>
      <c r="C26" s="15"/>
      <c r="D26" s="15"/>
      <c r="E26" s="15"/>
    </row>
    <row r="27" spans="1:5" ht="18" x14ac:dyDescent="0.45">
      <c r="A27" s="5">
        <v>10</v>
      </c>
      <c r="B27" s="15" t="s">
        <v>176</v>
      </c>
      <c r="C27" s="15"/>
      <c r="D27" s="15"/>
      <c r="E27" s="15"/>
    </row>
    <row r="34" spans="1:5" ht="18" x14ac:dyDescent="0.55000000000000004">
      <c r="A34" s="2" t="s">
        <v>68</v>
      </c>
      <c r="B34" s="2" t="s">
        <v>166</v>
      </c>
      <c r="C34" s="2" t="s">
        <v>177</v>
      </c>
      <c r="D34" s="2" t="s">
        <v>178</v>
      </c>
      <c r="E34" s="2" t="s">
        <v>179</v>
      </c>
    </row>
    <row r="35" spans="1:5" ht="18" x14ac:dyDescent="0.45">
      <c r="A35" s="5">
        <v>1</v>
      </c>
      <c r="B35" s="15" t="s">
        <v>186</v>
      </c>
      <c r="C35" s="15"/>
      <c r="D35" s="15"/>
      <c r="E35" s="15"/>
    </row>
    <row r="36" spans="1:5" ht="18" x14ac:dyDescent="0.45">
      <c r="A36" s="5">
        <v>2</v>
      </c>
      <c r="B36" s="15" t="s">
        <v>168</v>
      </c>
      <c r="C36" s="15"/>
      <c r="D36" s="15"/>
      <c r="E36" s="15"/>
    </row>
    <row r="37" spans="1:5" ht="18" x14ac:dyDescent="0.45">
      <c r="A37" s="5">
        <v>3</v>
      </c>
      <c r="B37" s="15" t="s">
        <v>187</v>
      </c>
      <c r="C37" s="15"/>
      <c r="D37" s="15"/>
      <c r="E37" s="15"/>
    </row>
    <row r="38" spans="1:5" ht="18" x14ac:dyDescent="0.45">
      <c r="A38" s="5">
        <v>4</v>
      </c>
      <c r="B38" s="15" t="s">
        <v>188</v>
      </c>
      <c r="C38" s="15"/>
      <c r="D38" s="15"/>
      <c r="E38" s="15"/>
    </row>
    <row r="39" spans="1:5" ht="18" x14ac:dyDescent="0.45">
      <c r="A39" s="5">
        <v>5</v>
      </c>
      <c r="B39" s="15" t="s">
        <v>182</v>
      </c>
      <c r="C39" s="15"/>
      <c r="D39" s="15"/>
      <c r="E39" s="15"/>
    </row>
    <row r="40" spans="1:5" ht="18" x14ac:dyDescent="0.45">
      <c r="A40" s="5">
        <v>6</v>
      </c>
      <c r="B40" s="15" t="s">
        <v>189</v>
      </c>
      <c r="C40" s="15"/>
      <c r="D40" s="15"/>
      <c r="E40" s="15"/>
    </row>
    <row r="41" spans="1:5" ht="18" x14ac:dyDescent="0.45">
      <c r="A41" s="5">
        <v>7</v>
      </c>
      <c r="B41" s="15" t="s">
        <v>173</v>
      </c>
      <c r="C41" s="15"/>
      <c r="D41" s="15"/>
      <c r="E41" s="15"/>
    </row>
    <row r="42" spans="1:5" ht="18" x14ac:dyDescent="0.45">
      <c r="A42" s="5">
        <v>8</v>
      </c>
      <c r="B42" s="15" t="s">
        <v>190</v>
      </c>
      <c r="C42" s="15"/>
      <c r="D42" s="15"/>
      <c r="E42" s="15"/>
    </row>
    <row r="43" spans="1:5" ht="18" x14ac:dyDescent="0.45">
      <c r="A43" s="5">
        <v>9</v>
      </c>
      <c r="B43" s="15" t="s">
        <v>185</v>
      </c>
      <c r="C43" s="15"/>
      <c r="D43" s="15"/>
      <c r="E43" s="15"/>
    </row>
    <row r="44" spans="1:5" ht="18" x14ac:dyDescent="0.45">
      <c r="A44" s="5">
        <v>10</v>
      </c>
      <c r="B44" s="15" t="s">
        <v>176</v>
      </c>
      <c r="C44" s="15"/>
      <c r="D44" s="15"/>
      <c r="E44" s="15"/>
    </row>
    <row r="51" spans="1:3" ht="18" x14ac:dyDescent="0.55000000000000004">
      <c r="A51" s="2" t="s">
        <v>68</v>
      </c>
      <c r="B51" s="2" t="s">
        <v>191</v>
      </c>
      <c r="C51" s="2" t="s">
        <v>118</v>
      </c>
    </row>
    <row r="52" spans="1:3" x14ac:dyDescent="0.45">
      <c r="A52" s="8">
        <v>1</v>
      </c>
      <c r="B52" s="8" t="s">
        <v>192</v>
      </c>
      <c r="C52" s="8" t="str" cm="1">
        <f t="array" ref="C52:C61">_xlfn.TEXTSPLIT(B52:B61,",",";")</f>
        <v>Laptop</v>
      </c>
    </row>
    <row r="53" spans="1:3" x14ac:dyDescent="0.45">
      <c r="A53" s="8">
        <v>2</v>
      </c>
      <c r="B53" s="8" t="s">
        <v>193</v>
      </c>
      <c r="C53" s="8" t="str">
        <v>Apple</v>
      </c>
    </row>
    <row r="54" spans="1:3" x14ac:dyDescent="0.45">
      <c r="A54" s="8">
        <v>3</v>
      </c>
      <c r="B54" s="8" t="s">
        <v>194</v>
      </c>
      <c r="C54" s="8" t="str">
        <v>Pizza</v>
      </c>
    </row>
    <row r="55" spans="1:3" x14ac:dyDescent="0.45">
      <c r="A55" s="8">
        <v>4</v>
      </c>
      <c r="B55" s="8" t="s">
        <v>195</v>
      </c>
      <c r="C55" s="8" t="str">
        <v>HR</v>
      </c>
    </row>
    <row r="56" spans="1:3" x14ac:dyDescent="0.45">
      <c r="A56" s="8">
        <v>5</v>
      </c>
      <c r="B56" s="8" t="s">
        <v>196</v>
      </c>
      <c r="C56" s="8" t="str">
        <v>Chennai</v>
      </c>
    </row>
    <row r="57" spans="1:3" x14ac:dyDescent="0.45">
      <c r="A57" s="8">
        <v>6</v>
      </c>
      <c r="B57" s="8" t="s">
        <v>197</v>
      </c>
      <c r="C57" s="8" t="str">
        <v>Shirt</v>
      </c>
    </row>
    <row r="58" spans="1:3" x14ac:dyDescent="0.45">
      <c r="A58" s="8">
        <v>7</v>
      </c>
      <c r="B58" s="8" t="s">
        <v>198</v>
      </c>
      <c r="C58" s="8" t="str">
        <v>Excel</v>
      </c>
    </row>
    <row r="59" spans="1:3" x14ac:dyDescent="0.45">
      <c r="A59" s="8">
        <v>8</v>
      </c>
      <c r="B59" s="8" t="s">
        <v>199</v>
      </c>
      <c r="C59" s="8" t="str">
        <v>Samsung</v>
      </c>
    </row>
    <row r="60" spans="1:3" x14ac:dyDescent="0.45">
      <c r="A60" s="8">
        <v>9</v>
      </c>
      <c r="B60" s="8" t="s">
        <v>200</v>
      </c>
      <c r="C60" s="8" t="str">
        <v>Red</v>
      </c>
    </row>
    <row r="61" spans="1:3" x14ac:dyDescent="0.45">
      <c r="A61" s="8">
        <v>10</v>
      </c>
      <c r="B61" s="8" t="s">
        <v>201</v>
      </c>
      <c r="C61" s="8" t="str">
        <v>Gold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3103-875A-4F84-AF69-A79F56302509}">
  <dimension ref="A1:E16"/>
  <sheetViews>
    <sheetView showGridLines="0" topLeftCell="B1" workbookViewId="0">
      <selection activeCell="E2" sqref="E2:E16"/>
    </sheetView>
  </sheetViews>
  <sheetFormatPr defaultColWidth="30.796875" defaultRowHeight="14.25" x14ac:dyDescent="0.45"/>
  <cols>
    <col min="1" max="1" width="17.9296875" customWidth="1"/>
  </cols>
  <sheetData>
    <row r="1" spans="1:5" ht="18" x14ac:dyDescent="0.55000000000000004">
      <c r="A1" s="2" t="s">
        <v>68</v>
      </c>
      <c r="B1" s="2" t="s">
        <v>94</v>
      </c>
      <c r="C1" s="2" t="s">
        <v>104</v>
      </c>
      <c r="D1" s="2" t="s">
        <v>115</v>
      </c>
      <c r="E1" s="2" t="s">
        <v>95</v>
      </c>
    </row>
    <row r="2" spans="1:5" ht="18" x14ac:dyDescent="0.45">
      <c r="A2" s="1">
        <v>1</v>
      </c>
      <c r="B2" s="1">
        <v>45231</v>
      </c>
      <c r="C2" s="4" t="s">
        <v>96</v>
      </c>
      <c r="D2" s="1" t="str">
        <f>TEXT(B2,"dd-mmm-yyyy")</f>
        <v>01-Nov-2023</v>
      </c>
      <c r="E2" s="9"/>
    </row>
    <row r="3" spans="1:5" ht="18" x14ac:dyDescent="0.45">
      <c r="A3" s="1">
        <v>2</v>
      </c>
      <c r="B3" s="1">
        <v>1500</v>
      </c>
      <c r="C3" s="4" t="s">
        <v>97</v>
      </c>
      <c r="D3" s="1" t="str">
        <f>TEXT(B3,"₹#,##0")</f>
        <v>₹1,500</v>
      </c>
      <c r="E3" s="1"/>
    </row>
    <row r="4" spans="1:5" ht="18" x14ac:dyDescent="0.45">
      <c r="A4" s="1">
        <v>3</v>
      </c>
      <c r="B4" s="1">
        <v>0.875</v>
      </c>
      <c r="C4" s="4" t="s">
        <v>98</v>
      </c>
      <c r="D4" s="1" t="str">
        <f>TEXT(B4,"0%")</f>
        <v>88%</v>
      </c>
      <c r="E4" s="1"/>
    </row>
    <row r="5" spans="1:5" ht="18" x14ac:dyDescent="0.45">
      <c r="A5" s="1">
        <v>4</v>
      </c>
      <c r="B5" s="1">
        <v>0.45669999999999999</v>
      </c>
      <c r="C5" s="4" t="s">
        <v>98</v>
      </c>
      <c r="D5" s="1" t="str">
        <f>TEXT(B5,"0.00%")</f>
        <v>45.67%</v>
      </c>
      <c r="E5" s="1"/>
    </row>
    <row r="6" spans="1:5" ht="18" x14ac:dyDescent="0.45">
      <c r="A6" s="1">
        <v>5</v>
      </c>
      <c r="B6" s="1">
        <v>1234.567</v>
      </c>
      <c r="C6" s="4" t="s">
        <v>99</v>
      </c>
      <c r="D6" s="1" t="str">
        <f>TEXT(B6,"0.00")</f>
        <v>1234.57</v>
      </c>
      <c r="E6" s="1"/>
    </row>
    <row r="7" spans="1:5" ht="18" x14ac:dyDescent="0.45">
      <c r="A7" s="1">
        <v>6</v>
      </c>
      <c r="B7" s="1">
        <v>2500000</v>
      </c>
      <c r="C7" s="4" t="s">
        <v>100</v>
      </c>
      <c r="D7" s="1" t="str">
        <f>TEXT(B7,"#,##0")</f>
        <v>2,500,000</v>
      </c>
      <c r="E7" s="1"/>
    </row>
    <row r="8" spans="1:5" ht="18" x14ac:dyDescent="0.45">
      <c r="A8" s="1">
        <v>7</v>
      </c>
      <c r="B8" s="1">
        <v>18.5</v>
      </c>
      <c r="C8" s="4" t="s">
        <v>101</v>
      </c>
      <c r="D8" s="1" t="str">
        <f>TEXT(B8,"0.0"" kg""")</f>
        <v>18.5 kg</v>
      </c>
      <c r="E8" s="1"/>
    </row>
    <row r="9" spans="1:5" ht="18" x14ac:dyDescent="0.45">
      <c r="A9" s="1">
        <v>8</v>
      </c>
      <c r="B9" s="1">
        <v>9</v>
      </c>
      <c r="C9" s="4" t="s">
        <v>102</v>
      </c>
      <c r="D9" s="1" t="str">
        <f>TEXT(B9,"0000")</f>
        <v>0009</v>
      </c>
      <c r="E9" s="1"/>
    </row>
    <row r="10" spans="1:5" ht="18" x14ac:dyDescent="0.45">
      <c r="B10" s="1" t="s">
        <v>103</v>
      </c>
      <c r="C10" s="10" t="s">
        <v>105</v>
      </c>
      <c r="D10" s="1"/>
      <c r="E10" s="1"/>
    </row>
    <row r="11" spans="1:5" ht="18" x14ac:dyDescent="0.45">
      <c r="B11" s="1" t="s">
        <v>103</v>
      </c>
      <c r="C11" s="10" t="s">
        <v>111</v>
      </c>
      <c r="D11" s="1">
        <v>11</v>
      </c>
      <c r="E11" s="1"/>
    </row>
    <row r="12" spans="1:5" ht="18" x14ac:dyDescent="0.45">
      <c r="B12" s="1" t="s">
        <v>103</v>
      </c>
      <c r="C12" s="10" t="s">
        <v>106</v>
      </c>
      <c r="D12" s="1" t="s">
        <v>112</v>
      </c>
      <c r="E12" s="1"/>
    </row>
    <row r="13" spans="1:5" ht="18" x14ac:dyDescent="0.45">
      <c r="B13" s="1" t="s">
        <v>103</v>
      </c>
      <c r="C13" s="10" t="s">
        <v>107</v>
      </c>
      <c r="D13" s="1" t="s">
        <v>113</v>
      </c>
      <c r="E13" s="1"/>
    </row>
    <row r="14" spans="1:5" ht="18" x14ac:dyDescent="0.45">
      <c r="B14" s="1" t="s">
        <v>103</v>
      </c>
      <c r="C14" s="10" t="s">
        <v>108</v>
      </c>
      <c r="D14" s="11">
        <v>1</v>
      </c>
      <c r="E14" s="1"/>
    </row>
    <row r="15" spans="1:5" ht="18" x14ac:dyDescent="0.45">
      <c r="B15" s="1" t="s">
        <v>103</v>
      </c>
      <c r="C15" s="10" t="s">
        <v>109</v>
      </c>
      <c r="D15" s="1" t="s">
        <v>114</v>
      </c>
      <c r="E15" s="1"/>
    </row>
    <row r="16" spans="1:5" ht="18" x14ac:dyDescent="0.45">
      <c r="B16" s="1" t="s">
        <v>103</v>
      </c>
      <c r="C16" s="10" t="s">
        <v>110</v>
      </c>
      <c r="D16" s="1" t="s">
        <v>116</v>
      </c>
      <c r="E1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4E3F-AE66-4B27-9DDB-87ED1D36F6D7}">
  <dimension ref="A1:J11"/>
  <sheetViews>
    <sheetView showGridLines="0" workbookViewId="0">
      <selection activeCell="C1" sqref="C1"/>
    </sheetView>
  </sheetViews>
  <sheetFormatPr defaultColWidth="9.1328125" defaultRowHeight="14.25" x14ac:dyDescent="0.45"/>
  <cols>
    <col min="1" max="1" width="3.3984375" bestFit="1" customWidth="1"/>
    <col min="2" max="2" width="26.59765625" customWidth="1"/>
    <col min="3" max="3" width="21.06640625" bestFit="1" customWidth="1"/>
    <col min="8" max="8" width="3.3984375" bestFit="1" customWidth="1"/>
    <col min="9" max="10" width="39.59765625" bestFit="1" customWidth="1"/>
  </cols>
  <sheetData>
    <row r="1" spans="1:10" ht="18" x14ac:dyDescent="0.55000000000000004">
      <c r="A1" s="2" t="s">
        <v>68</v>
      </c>
      <c r="B1" s="2" t="s">
        <v>117</v>
      </c>
      <c r="C1" s="2" t="s">
        <v>119</v>
      </c>
      <c r="H1" s="2" t="s">
        <v>68</v>
      </c>
      <c r="I1" s="2" t="s">
        <v>130</v>
      </c>
      <c r="J1" s="2" t="s">
        <v>119</v>
      </c>
    </row>
    <row r="2" spans="1:10" ht="18" x14ac:dyDescent="0.45">
      <c r="A2" s="1">
        <v>1</v>
      </c>
      <c r="B2" s="1" t="s">
        <v>120</v>
      </c>
      <c r="C2" s="1"/>
      <c r="H2" s="1">
        <v>1</v>
      </c>
      <c r="I2" s="1" t="s">
        <v>131</v>
      </c>
      <c r="J2" s="1"/>
    </row>
    <row r="3" spans="1:10" ht="18" x14ac:dyDescent="0.45">
      <c r="A3" s="1">
        <v>2</v>
      </c>
      <c r="B3" s="1" t="s">
        <v>121</v>
      </c>
      <c r="C3" s="1"/>
      <c r="H3" s="1">
        <v>2</v>
      </c>
      <c r="I3" s="1" t="s">
        <v>132</v>
      </c>
      <c r="J3" s="1"/>
    </row>
    <row r="4" spans="1:10" ht="18" x14ac:dyDescent="0.45">
      <c r="A4" s="1">
        <v>3</v>
      </c>
      <c r="B4" s="1" t="s">
        <v>122</v>
      </c>
      <c r="C4" s="1"/>
      <c r="H4" s="1">
        <v>3</v>
      </c>
      <c r="I4" s="1" t="s">
        <v>133</v>
      </c>
      <c r="J4" s="1"/>
    </row>
    <row r="5" spans="1:10" ht="18" x14ac:dyDescent="0.45">
      <c r="A5" s="1">
        <v>4</v>
      </c>
      <c r="B5" s="1" t="s">
        <v>123</v>
      </c>
      <c r="C5" s="1"/>
      <c r="H5" s="1">
        <v>4</v>
      </c>
      <c r="I5" s="1" t="s">
        <v>134</v>
      </c>
      <c r="J5" s="1"/>
    </row>
    <row r="6" spans="1:10" ht="18" x14ac:dyDescent="0.45">
      <c r="A6" s="1">
        <v>5</v>
      </c>
      <c r="B6" s="1" t="s">
        <v>124</v>
      </c>
      <c r="C6" s="1"/>
      <c r="H6" s="1">
        <v>5</v>
      </c>
      <c r="I6" s="1" t="s">
        <v>135</v>
      </c>
      <c r="J6" s="1"/>
    </row>
    <row r="7" spans="1:10" ht="18" x14ac:dyDescent="0.45">
      <c r="A7" s="1">
        <v>6</v>
      </c>
      <c r="B7" s="1" t="s">
        <v>125</v>
      </c>
      <c r="C7" s="1"/>
      <c r="H7" s="1">
        <v>6</v>
      </c>
      <c r="I7" s="1" t="s">
        <v>136</v>
      </c>
      <c r="J7" s="1"/>
    </row>
    <row r="8" spans="1:10" ht="18" x14ac:dyDescent="0.45">
      <c r="A8" s="1">
        <v>7</v>
      </c>
      <c r="B8" s="1" t="s">
        <v>126</v>
      </c>
      <c r="C8" s="1"/>
      <c r="H8" s="1">
        <v>7</v>
      </c>
      <c r="I8" s="1" t="s">
        <v>137</v>
      </c>
      <c r="J8" s="1"/>
    </row>
    <row r="9" spans="1:10" ht="18" x14ac:dyDescent="0.45">
      <c r="A9" s="1">
        <v>8</v>
      </c>
      <c r="B9" s="1" t="s">
        <v>127</v>
      </c>
      <c r="C9" s="1"/>
      <c r="H9" s="1">
        <v>8</v>
      </c>
      <c r="I9" s="1" t="s">
        <v>138</v>
      </c>
      <c r="J9" s="1"/>
    </row>
    <row r="10" spans="1:10" ht="18" x14ac:dyDescent="0.45">
      <c r="A10" s="1">
        <v>9</v>
      </c>
      <c r="B10" s="1" t="s">
        <v>128</v>
      </c>
      <c r="C10" s="1"/>
      <c r="H10" s="1">
        <v>9</v>
      </c>
      <c r="I10" s="1" t="s">
        <v>139</v>
      </c>
      <c r="J10" s="1"/>
    </row>
    <row r="11" spans="1:10" ht="18" x14ac:dyDescent="0.45">
      <c r="A11" s="1">
        <v>10</v>
      </c>
      <c r="B11" s="1" t="s">
        <v>129</v>
      </c>
      <c r="C11" s="1"/>
      <c r="H11" s="1">
        <v>10</v>
      </c>
      <c r="I11" s="1" t="s">
        <v>140</v>
      </c>
      <c r="J1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0075-8503-4D44-BF5F-469F3D0A3F12}">
  <dimension ref="A1:R1001"/>
  <sheetViews>
    <sheetView topLeftCell="I1" workbookViewId="0">
      <selection activeCell="M1" sqref="M1"/>
    </sheetView>
  </sheetViews>
  <sheetFormatPr defaultRowHeight="11.65" x14ac:dyDescent="0.35"/>
  <cols>
    <col min="1" max="1" width="6.73046875" style="16" bestFit="1" customWidth="1"/>
    <col min="2" max="2" width="12.1328125" style="16" bestFit="1" customWidth="1"/>
    <col min="3" max="3" width="9.06640625" style="16"/>
    <col min="4" max="4" width="19.53125" style="16" bestFit="1" customWidth="1"/>
    <col min="5" max="5" width="45.796875" style="16" bestFit="1" customWidth="1"/>
    <col min="6" max="6" width="12.1328125" style="16" bestFit="1" customWidth="1"/>
    <col min="7" max="7" width="9.3984375" style="16" bestFit="1" customWidth="1"/>
    <col min="8" max="8" width="27.6640625" style="16" bestFit="1" customWidth="1"/>
    <col min="9" max="9" width="8.59765625" style="16" bestFit="1" customWidth="1"/>
    <col min="10" max="10" width="13.06640625" style="16" bestFit="1" customWidth="1"/>
    <col min="11" max="11" width="41.3984375" style="16" bestFit="1" customWidth="1"/>
    <col min="12" max="12" width="15.33203125" style="16" customWidth="1"/>
    <col min="13" max="13" width="36.796875" style="16" customWidth="1"/>
    <col min="14" max="14" width="17.73046875" style="16" customWidth="1"/>
    <col min="15" max="15" width="9.06640625" style="16"/>
    <col min="16" max="16" width="19.1328125" style="16" customWidth="1"/>
    <col min="17" max="17" width="18.19921875" style="16" customWidth="1"/>
    <col min="18" max="18" width="13.19921875" style="16" bestFit="1" customWidth="1"/>
    <col min="19" max="16384" width="9.06640625" style="16"/>
  </cols>
  <sheetData>
    <row r="1" spans="1:18" ht="18" x14ac:dyDescent="0.55000000000000004">
      <c r="A1" s="16" t="s">
        <v>204</v>
      </c>
      <c r="B1" s="16" t="s">
        <v>205</v>
      </c>
      <c r="C1" s="16" t="s">
        <v>206</v>
      </c>
      <c r="D1" s="16" t="s">
        <v>207</v>
      </c>
      <c r="E1" s="16" t="s">
        <v>208</v>
      </c>
      <c r="F1" s="16" t="s">
        <v>209</v>
      </c>
      <c r="G1" s="16" t="s">
        <v>210</v>
      </c>
      <c r="H1" s="16" t="s">
        <v>212</v>
      </c>
      <c r="I1" s="16" t="s">
        <v>213</v>
      </c>
      <c r="J1" s="16" t="s">
        <v>214</v>
      </c>
      <c r="K1" s="16" t="s">
        <v>3227</v>
      </c>
      <c r="L1" s="16" t="s">
        <v>3228</v>
      </c>
      <c r="M1" s="2" t="s">
        <v>3240</v>
      </c>
      <c r="N1" s="2" t="s">
        <v>211</v>
      </c>
      <c r="O1" s="2" t="s">
        <v>177</v>
      </c>
      <c r="P1" s="2" t="s">
        <v>3260</v>
      </c>
      <c r="Q1" s="2" t="s">
        <v>3261</v>
      </c>
      <c r="R1" s="2" t="s">
        <v>3262</v>
      </c>
    </row>
    <row r="2" spans="1:18" x14ac:dyDescent="0.35">
      <c r="A2" s="16" t="s">
        <v>215</v>
      </c>
      <c r="B2" s="17">
        <v>45793.33861111111</v>
      </c>
      <c r="C2" s="16" t="s">
        <v>216</v>
      </c>
      <c r="D2" s="16" t="s">
        <v>217</v>
      </c>
      <c r="E2" s="16" t="s">
        <v>218</v>
      </c>
      <c r="F2" s="16" t="s">
        <v>219</v>
      </c>
      <c r="G2" s="16" t="s">
        <v>220</v>
      </c>
      <c r="H2" s="16" t="s">
        <v>221</v>
      </c>
      <c r="I2" s="16" t="s">
        <v>222</v>
      </c>
      <c r="J2" s="16" t="s">
        <v>223</v>
      </c>
      <c r="K2" s="16" t="s">
        <v>3229</v>
      </c>
      <c r="L2" s="16" t="s">
        <v>3230</v>
      </c>
    </row>
    <row r="3" spans="1:18" x14ac:dyDescent="0.35">
      <c r="A3" s="16" t="s">
        <v>224</v>
      </c>
      <c r="B3" s="17">
        <v>45739.352951388886</v>
      </c>
      <c r="C3" s="16" t="s">
        <v>216</v>
      </c>
      <c r="D3" s="16" t="s">
        <v>217</v>
      </c>
      <c r="E3" s="16" t="s">
        <v>225</v>
      </c>
      <c r="F3" s="16" t="s">
        <v>219</v>
      </c>
      <c r="G3" s="16" t="s">
        <v>220</v>
      </c>
      <c r="H3" s="16" t="s">
        <v>221</v>
      </c>
      <c r="I3" s="16" t="s">
        <v>226</v>
      </c>
      <c r="J3" s="16" t="s">
        <v>223</v>
      </c>
      <c r="K3" s="16" t="s">
        <v>3241</v>
      </c>
      <c r="L3" s="16" t="s">
        <v>3231</v>
      </c>
    </row>
    <row r="4" spans="1:18" x14ac:dyDescent="0.35">
      <c r="A4" s="16" t="s">
        <v>227</v>
      </c>
      <c r="B4" s="17">
        <v>45861.00984953704</v>
      </c>
      <c r="C4" s="16" t="s">
        <v>228</v>
      </c>
      <c r="D4" s="16" t="s">
        <v>229</v>
      </c>
      <c r="E4" s="16" t="s">
        <v>230</v>
      </c>
      <c r="F4" s="16" t="s">
        <v>219</v>
      </c>
      <c r="G4" s="16" t="s">
        <v>231</v>
      </c>
      <c r="H4" s="16" t="s">
        <v>232</v>
      </c>
      <c r="I4" s="16" t="s">
        <v>233</v>
      </c>
      <c r="J4" s="16" t="s">
        <v>234</v>
      </c>
      <c r="K4" s="16" t="s">
        <v>3242</v>
      </c>
      <c r="L4" s="16" t="s">
        <v>3232</v>
      </c>
    </row>
    <row r="5" spans="1:18" x14ac:dyDescent="0.35">
      <c r="A5" s="16" t="s">
        <v>235</v>
      </c>
      <c r="B5" s="17">
        <v>45481.576354166667</v>
      </c>
      <c r="C5" s="16" t="s">
        <v>228</v>
      </c>
      <c r="D5" s="16" t="s">
        <v>229</v>
      </c>
      <c r="E5" s="16" t="s">
        <v>236</v>
      </c>
      <c r="F5" s="16" t="s">
        <v>237</v>
      </c>
      <c r="G5" s="16" t="s">
        <v>231</v>
      </c>
      <c r="H5" s="16" t="s">
        <v>238</v>
      </c>
      <c r="I5" s="16" t="s">
        <v>239</v>
      </c>
      <c r="J5" s="16" t="s">
        <v>223</v>
      </c>
      <c r="K5" s="16" t="s">
        <v>3233</v>
      </c>
      <c r="L5" s="16" t="s">
        <v>3230</v>
      </c>
    </row>
    <row r="6" spans="1:18" x14ac:dyDescent="0.35">
      <c r="A6" s="16" t="s">
        <v>240</v>
      </c>
      <c r="B6" s="17">
        <v>45453.837465277778</v>
      </c>
      <c r="C6" s="16" t="s">
        <v>241</v>
      </c>
      <c r="D6" s="16" t="s">
        <v>242</v>
      </c>
      <c r="E6" s="16" t="s">
        <v>243</v>
      </c>
      <c r="F6" s="16" t="s">
        <v>219</v>
      </c>
      <c r="G6" s="16" t="s">
        <v>244</v>
      </c>
      <c r="H6" s="16" t="s">
        <v>221</v>
      </c>
      <c r="I6" s="16" t="s">
        <v>245</v>
      </c>
      <c r="J6" s="16" t="s">
        <v>234</v>
      </c>
      <c r="K6" s="16" t="s">
        <v>3233</v>
      </c>
      <c r="L6" s="16" t="s">
        <v>3230</v>
      </c>
    </row>
    <row r="7" spans="1:18" x14ac:dyDescent="0.35">
      <c r="A7" s="16" t="s">
        <v>246</v>
      </c>
      <c r="B7" s="17">
        <v>45884.121041666665</v>
      </c>
      <c r="C7" s="16" t="s">
        <v>216</v>
      </c>
      <c r="D7" s="16" t="s">
        <v>217</v>
      </c>
      <c r="E7" s="16" t="s">
        <v>247</v>
      </c>
      <c r="F7" s="16" t="s">
        <v>69</v>
      </c>
      <c r="G7" s="16" t="s">
        <v>231</v>
      </c>
      <c r="H7" s="16" t="s">
        <v>221</v>
      </c>
      <c r="I7" s="16" t="s">
        <v>248</v>
      </c>
      <c r="J7" s="16" t="s">
        <v>249</v>
      </c>
      <c r="K7" s="16" t="s">
        <v>3243</v>
      </c>
      <c r="L7" s="16" t="s">
        <v>3234</v>
      </c>
    </row>
    <row r="8" spans="1:18" x14ac:dyDescent="0.35">
      <c r="A8" s="16" t="s">
        <v>250</v>
      </c>
      <c r="B8" s="17">
        <v>45721.405011574076</v>
      </c>
      <c r="C8" s="16" t="s">
        <v>228</v>
      </c>
      <c r="D8" s="16" t="s">
        <v>229</v>
      </c>
      <c r="E8" s="16" t="s">
        <v>251</v>
      </c>
      <c r="F8" s="16" t="s">
        <v>219</v>
      </c>
      <c r="G8" s="16" t="s">
        <v>220</v>
      </c>
      <c r="H8" s="16" t="s">
        <v>238</v>
      </c>
      <c r="I8" s="16" t="s">
        <v>252</v>
      </c>
      <c r="J8" s="16" t="s">
        <v>234</v>
      </c>
      <c r="K8" s="16" t="s">
        <v>3229</v>
      </c>
      <c r="L8" s="16" t="s">
        <v>3230</v>
      </c>
    </row>
    <row r="9" spans="1:18" x14ac:dyDescent="0.35">
      <c r="A9" s="16" t="s">
        <v>253</v>
      </c>
      <c r="B9" s="17">
        <v>45844.970902777779</v>
      </c>
      <c r="C9" s="16" t="s">
        <v>228</v>
      </c>
      <c r="D9" s="16" t="s">
        <v>229</v>
      </c>
      <c r="E9" s="16" t="s">
        <v>254</v>
      </c>
      <c r="F9" s="16" t="s">
        <v>69</v>
      </c>
      <c r="G9" s="16" t="s">
        <v>244</v>
      </c>
      <c r="H9" s="16" t="s">
        <v>232</v>
      </c>
      <c r="I9" s="16" t="s">
        <v>255</v>
      </c>
      <c r="J9" s="16" t="s">
        <v>234</v>
      </c>
      <c r="K9" s="16" t="s">
        <v>3242</v>
      </c>
      <c r="L9" s="16" t="s">
        <v>3232</v>
      </c>
    </row>
    <row r="10" spans="1:18" x14ac:dyDescent="0.35">
      <c r="A10" s="16" t="s">
        <v>256</v>
      </c>
      <c r="B10" s="17">
        <v>45840.100405092591</v>
      </c>
      <c r="C10" s="16" t="s">
        <v>216</v>
      </c>
      <c r="D10" s="16" t="s">
        <v>217</v>
      </c>
      <c r="E10" s="16" t="s">
        <v>257</v>
      </c>
      <c r="F10" s="16" t="s">
        <v>219</v>
      </c>
      <c r="G10" s="16" t="s">
        <v>244</v>
      </c>
      <c r="H10" s="16" t="s">
        <v>238</v>
      </c>
      <c r="I10" s="16" t="s">
        <v>258</v>
      </c>
      <c r="J10" s="16" t="s">
        <v>223</v>
      </c>
      <c r="K10" s="16" t="s">
        <v>3244</v>
      </c>
      <c r="L10" s="16" t="s">
        <v>3235</v>
      </c>
    </row>
    <row r="11" spans="1:18" x14ac:dyDescent="0.35">
      <c r="A11" s="16" t="s">
        <v>259</v>
      </c>
      <c r="B11" s="17">
        <v>45834.211817129632</v>
      </c>
      <c r="C11" s="16" t="s">
        <v>260</v>
      </c>
      <c r="D11" s="16" t="s">
        <v>261</v>
      </c>
      <c r="E11" s="16" t="s">
        <v>262</v>
      </c>
      <c r="F11" s="16" t="s">
        <v>219</v>
      </c>
      <c r="G11" s="16" t="s">
        <v>244</v>
      </c>
      <c r="H11" s="16" t="s">
        <v>232</v>
      </c>
      <c r="I11" s="16" t="s">
        <v>263</v>
      </c>
      <c r="J11" s="16" t="s">
        <v>223</v>
      </c>
      <c r="K11" s="16" t="s">
        <v>3233</v>
      </c>
      <c r="L11" s="16" t="s">
        <v>3230</v>
      </c>
    </row>
    <row r="12" spans="1:18" x14ac:dyDescent="0.35">
      <c r="A12" s="16" t="s">
        <v>264</v>
      </c>
      <c r="B12" s="17">
        <v>45741.209849537037</v>
      </c>
      <c r="C12" s="16" t="s">
        <v>241</v>
      </c>
      <c r="D12" s="16" t="s">
        <v>242</v>
      </c>
      <c r="E12" s="16" t="s">
        <v>265</v>
      </c>
      <c r="F12" s="16" t="s">
        <v>237</v>
      </c>
      <c r="G12" s="16" t="s">
        <v>220</v>
      </c>
      <c r="H12" s="16" t="s">
        <v>232</v>
      </c>
      <c r="I12" s="16" t="s">
        <v>266</v>
      </c>
      <c r="J12" s="16" t="s">
        <v>234</v>
      </c>
      <c r="K12" s="16" t="s">
        <v>3245</v>
      </c>
      <c r="L12" s="16" t="s">
        <v>3232</v>
      </c>
    </row>
    <row r="13" spans="1:18" x14ac:dyDescent="0.35">
      <c r="A13" s="16" t="s">
        <v>267</v>
      </c>
      <c r="B13" s="17">
        <v>45422.583703703705</v>
      </c>
      <c r="C13" s="16" t="s">
        <v>228</v>
      </c>
      <c r="D13" s="16" t="s">
        <v>229</v>
      </c>
      <c r="E13" s="16" t="s">
        <v>268</v>
      </c>
      <c r="F13" s="16" t="s">
        <v>219</v>
      </c>
      <c r="G13" s="16" t="s">
        <v>231</v>
      </c>
      <c r="H13" s="16" t="s">
        <v>232</v>
      </c>
      <c r="I13" s="16" t="s">
        <v>269</v>
      </c>
      <c r="J13" s="16" t="s">
        <v>270</v>
      </c>
      <c r="K13" s="16" t="s">
        <v>3246</v>
      </c>
      <c r="L13" s="16" t="s">
        <v>3234</v>
      </c>
    </row>
    <row r="14" spans="1:18" x14ac:dyDescent="0.35">
      <c r="A14" s="16" t="s">
        <v>271</v>
      </c>
      <c r="B14" s="17">
        <v>45988.169224537036</v>
      </c>
      <c r="C14" s="16" t="s">
        <v>216</v>
      </c>
      <c r="D14" s="16" t="s">
        <v>217</v>
      </c>
      <c r="E14" s="16" t="s">
        <v>272</v>
      </c>
      <c r="F14" s="16" t="s">
        <v>237</v>
      </c>
      <c r="G14" s="16" t="s">
        <v>220</v>
      </c>
      <c r="H14" s="16" t="s">
        <v>273</v>
      </c>
      <c r="I14" s="16" t="s">
        <v>274</v>
      </c>
      <c r="J14" s="16" t="s">
        <v>249</v>
      </c>
      <c r="K14" s="16" t="s">
        <v>3247</v>
      </c>
      <c r="L14" s="16" t="s">
        <v>3234</v>
      </c>
    </row>
    <row r="15" spans="1:18" x14ac:dyDescent="0.35">
      <c r="A15" s="16" t="s">
        <v>275</v>
      </c>
      <c r="B15" s="17">
        <v>45509.948599537034</v>
      </c>
      <c r="C15" s="16" t="s">
        <v>241</v>
      </c>
      <c r="D15" s="16" t="s">
        <v>242</v>
      </c>
      <c r="E15" s="16" t="s">
        <v>276</v>
      </c>
      <c r="F15" s="16" t="s">
        <v>219</v>
      </c>
      <c r="G15" s="16" t="s">
        <v>244</v>
      </c>
      <c r="H15" s="16" t="s">
        <v>277</v>
      </c>
      <c r="I15" s="16" t="s">
        <v>278</v>
      </c>
      <c r="J15" s="16" t="s">
        <v>249</v>
      </c>
      <c r="K15" s="16" t="s">
        <v>3248</v>
      </c>
      <c r="L15" s="16" t="s">
        <v>3231</v>
      </c>
    </row>
    <row r="16" spans="1:18" x14ac:dyDescent="0.35">
      <c r="A16" s="16" t="s">
        <v>279</v>
      </c>
      <c r="B16" s="17">
        <v>45293.90861111111</v>
      </c>
      <c r="C16" s="16" t="s">
        <v>228</v>
      </c>
      <c r="D16" s="16" t="s">
        <v>229</v>
      </c>
      <c r="E16" s="16" t="s">
        <v>280</v>
      </c>
      <c r="F16" s="16" t="s">
        <v>237</v>
      </c>
      <c r="G16" s="16" t="s">
        <v>220</v>
      </c>
      <c r="H16" s="16" t="s">
        <v>273</v>
      </c>
      <c r="I16" s="16" t="s">
        <v>281</v>
      </c>
      <c r="J16" s="16" t="s">
        <v>249</v>
      </c>
      <c r="K16" s="16" t="s">
        <v>3249</v>
      </c>
      <c r="L16" s="16" t="s">
        <v>3232</v>
      </c>
    </row>
    <row r="17" spans="1:12" x14ac:dyDescent="0.35">
      <c r="A17" s="16" t="s">
        <v>282</v>
      </c>
      <c r="B17" s="17">
        <v>45453.129930555559</v>
      </c>
      <c r="C17" s="16" t="s">
        <v>228</v>
      </c>
      <c r="D17" s="16" t="s">
        <v>229</v>
      </c>
      <c r="E17" s="16" t="s">
        <v>283</v>
      </c>
      <c r="F17" s="16" t="s">
        <v>69</v>
      </c>
      <c r="G17" s="16" t="s">
        <v>244</v>
      </c>
      <c r="H17" s="16" t="s">
        <v>221</v>
      </c>
      <c r="I17" s="16" t="s">
        <v>284</v>
      </c>
      <c r="J17" s="16" t="s">
        <v>223</v>
      </c>
      <c r="K17" s="16" t="s">
        <v>3250</v>
      </c>
      <c r="L17" s="16" t="s">
        <v>3231</v>
      </c>
    </row>
    <row r="18" spans="1:12" x14ac:dyDescent="0.35">
      <c r="A18" s="16" t="s">
        <v>285</v>
      </c>
      <c r="B18" s="17">
        <v>46372.920219907406</v>
      </c>
      <c r="C18" s="16" t="s">
        <v>241</v>
      </c>
      <c r="D18" s="16" t="s">
        <v>242</v>
      </c>
      <c r="E18" s="16" t="s">
        <v>286</v>
      </c>
      <c r="F18" s="16" t="s">
        <v>69</v>
      </c>
      <c r="G18" s="16" t="s">
        <v>244</v>
      </c>
      <c r="H18" s="16" t="s">
        <v>277</v>
      </c>
      <c r="I18" s="16" t="s">
        <v>287</v>
      </c>
      <c r="J18" s="16" t="s">
        <v>249</v>
      </c>
      <c r="K18" s="16" t="s">
        <v>3242</v>
      </c>
      <c r="L18" s="16" t="s">
        <v>3232</v>
      </c>
    </row>
    <row r="19" spans="1:12" x14ac:dyDescent="0.35">
      <c r="A19" s="16" t="s">
        <v>288</v>
      </c>
      <c r="B19" s="17">
        <v>46351.684918981482</v>
      </c>
      <c r="C19" s="16" t="s">
        <v>260</v>
      </c>
      <c r="D19" s="16" t="s">
        <v>261</v>
      </c>
      <c r="E19" s="16" t="s">
        <v>289</v>
      </c>
      <c r="F19" s="16" t="s">
        <v>69</v>
      </c>
      <c r="G19" s="16" t="s">
        <v>220</v>
      </c>
      <c r="H19" s="16" t="s">
        <v>238</v>
      </c>
      <c r="I19" s="16" t="s">
        <v>290</v>
      </c>
      <c r="J19" s="16" t="s">
        <v>270</v>
      </c>
      <c r="K19" s="16" t="s">
        <v>3248</v>
      </c>
      <c r="L19" s="16" t="s">
        <v>3231</v>
      </c>
    </row>
    <row r="20" spans="1:12" x14ac:dyDescent="0.35">
      <c r="A20" s="16" t="s">
        <v>291</v>
      </c>
      <c r="B20" s="17">
        <v>45743.01090277778</v>
      </c>
      <c r="C20" s="16" t="s">
        <v>241</v>
      </c>
      <c r="D20" s="16" t="s">
        <v>242</v>
      </c>
      <c r="E20" s="16" t="s">
        <v>292</v>
      </c>
      <c r="F20" s="16" t="s">
        <v>219</v>
      </c>
      <c r="G20" s="16" t="s">
        <v>244</v>
      </c>
      <c r="H20" s="16" t="s">
        <v>273</v>
      </c>
      <c r="I20" s="16" t="s">
        <v>293</v>
      </c>
      <c r="J20" s="16" t="s">
        <v>270</v>
      </c>
      <c r="K20" s="16" t="s">
        <v>3236</v>
      </c>
      <c r="L20" s="16" t="s">
        <v>3230</v>
      </c>
    </row>
    <row r="21" spans="1:12" x14ac:dyDescent="0.35">
      <c r="A21" s="16" t="s">
        <v>294</v>
      </c>
      <c r="B21" s="17">
        <v>46344.36105324074</v>
      </c>
      <c r="C21" s="16" t="s">
        <v>216</v>
      </c>
      <c r="D21" s="16" t="s">
        <v>217</v>
      </c>
      <c r="E21" s="16" t="s">
        <v>295</v>
      </c>
      <c r="F21" s="16" t="s">
        <v>219</v>
      </c>
      <c r="G21" s="16" t="s">
        <v>231</v>
      </c>
      <c r="H21" s="16" t="s">
        <v>238</v>
      </c>
      <c r="I21" s="16" t="s">
        <v>296</v>
      </c>
      <c r="J21" s="16" t="s">
        <v>234</v>
      </c>
      <c r="K21" s="16" t="s">
        <v>3237</v>
      </c>
      <c r="L21" s="16" t="s">
        <v>3230</v>
      </c>
    </row>
    <row r="22" spans="1:12" x14ac:dyDescent="0.35">
      <c r="A22" s="16" t="s">
        <v>297</v>
      </c>
      <c r="B22" s="17">
        <v>45789.717511574076</v>
      </c>
      <c r="C22" s="16" t="s">
        <v>241</v>
      </c>
      <c r="D22" s="16" t="s">
        <v>242</v>
      </c>
      <c r="E22" s="16" t="s">
        <v>298</v>
      </c>
      <c r="F22" s="16" t="s">
        <v>69</v>
      </c>
      <c r="G22" s="16" t="s">
        <v>220</v>
      </c>
      <c r="H22" s="16" t="s">
        <v>273</v>
      </c>
      <c r="I22" s="16" t="s">
        <v>299</v>
      </c>
      <c r="J22" s="16" t="s">
        <v>223</v>
      </c>
      <c r="K22" s="16" t="s">
        <v>3251</v>
      </c>
      <c r="L22" s="16" t="s">
        <v>3231</v>
      </c>
    </row>
    <row r="23" spans="1:12" x14ac:dyDescent="0.35">
      <c r="A23" s="16" t="s">
        <v>300</v>
      </c>
      <c r="B23" s="17">
        <v>46248.082175925927</v>
      </c>
      <c r="C23" s="16" t="s">
        <v>301</v>
      </c>
      <c r="D23" s="16" t="s">
        <v>302</v>
      </c>
      <c r="E23" s="16" t="s">
        <v>303</v>
      </c>
      <c r="F23" s="16" t="s">
        <v>219</v>
      </c>
      <c r="G23" s="16" t="s">
        <v>244</v>
      </c>
      <c r="H23" s="16" t="s">
        <v>232</v>
      </c>
      <c r="I23" s="16" t="s">
        <v>304</v>
      </c>
      <c r="J23" s="16" t="s">
        <v>223</v>
      </c>
      <c r="K23" s="16" t="s">
        <v>3248</v>
      </c>
      <c r="L23" s="16" t="s">
        <v>3231</v>
      </c>
    </row>
    <row r="24" spans="1:12" x14ac:dyDescent="0.35">
      <c r="A24" s="16" t="s">
        <v>305</v>
      </c>
      <c r="B24" s="17">
        <v>45684.288553240738</v>
      </c>
      <c r="C24" s="16" t="s">
        <v>301</v>
      </c>
      <c r="D24" s="16" t="s">
        <v>302</v>
      </c>
      <c r="E24" s="16" t="s">
        <v>306</v>
      </c>
      <c r="F24" s="16" t="s">
        <v>237</v>
      </c>
      <c r="G24" s="16" t="s">
        <v>220</v>
      </c>
      <c r="H24" s="16" t="s">
        <v>221</v>
      </c>
      <c r="I24" s="16" t="s">
        <v>307</v>
      </c>
      <c r="J24" s="16" t="s">
        <v>249</v>
      </c>
      <c r="K24" s="16" t="s">
        <v>3247</v>
      </c>
      <c r="L24" s="16" t="s">
        <v>3234</v>
      </c>
    </row>
    <row r="25" spans="1:12" x14ac:dyDescent="0.35">
      <c r="A25" s="16" t="s">
        <v>308</v>
      </c>
      <c r="B25" s="17">
        <v>46199.834861111114</v>
      </c>
      <c r="C25" s="16" t="s">
        <v>260</v>
      </c>
      <c r="D25" s="16" t="s">
        <v>261</v>
      </c>
      <c r="E25" s="16" t="s">
        <v>309</v>
      </c>
      <c r="F25" s="16" t="s">
        <v>69</v>
      </c>
      <c r="G25" s="16" t="s">
        <v>244</v>
      </c>
      <c r="H25" s="16" t="s">
        <v>277</v>
      </c>
      <c r="I25" s="16" t="s">
        <v>310</v>
      </c>
      <c r="J25" s="16" t="s">
        <v>270</v>
      </c>
      <c r="K25" s="16" t="s">
        <v>3236</v>
      </c>
      <c r="L25" s="16" t="s">
        <v>3230</v>
      </c>
    </row>
    <row r="26" spans="1:12" x14ac:dyDescent="0.35">
      <c r="A26" s="16" t="s">
        <v>311</v>
      </c>
      <c r="B26" s="17">
        <v>46286.730231481481</v>
      </c>
      <c r="C26" s="16" t="s">
        <v>228</v>
      </c>
      <c r="D26" s="16" t="s">
        <v>229</v>
      </c>
      <c r="E26" s="16" t="s">
        <v>312</v>
      </c>
      <c r="F26" s="16" t="s">
        <v>237</v>
      </c>
      <c r="G26" s="16" t="s">
        <v>220</v>
      </c>
      <c r="H26" s="16" t="s">
        <v>277</v>
      </c>
      <c r="I26" s="16" t="s">
        <v>313</v>
      </c>
      <c r="J26" s="16" t="s">
        <v>270</v>
      </c>
      <c r="K26" s="16" t="s">
        <v>3233</v>
      </c>
      <c r="L26" s="16" t="s">
        <v>3230</v>
      </c>
    </row>
    <row r="27" spans="1:12" x14ac:dyDescent="0.35">
      <c r="A27" s="16" t="s">
        <v>314</v>
      </c>
      <c r="B27" s="17">
        <v>45876.641712962963</v>
      </c>
      <c r="C27" s="16" t="s">
        <v>260</v>
      </c>
      <c r="D27" s="16" t="s">
        <v>261</v>
      </c>
      <c r="E27" s="16" t="s">
        <v>315</v>
      </c>
      <c r="F27" s="16" t="s">
        <v>219</v>
      </c>
      <c r="G27" s="16" t="s">
        <v>244</v>
      </c>
      <c r="H27" s="16" t="s">
        <v>238</v>
      </c>
      <c r="I27" s="16" t="s">
        <v>316</v>
      </c>
      <c r="J27" s="16" t="s">
        <v>234</v>
      </c>
      <c r="K27" s="16" t="s">
        <v>3251</v>
      </c>
      <c r="L27" s="16" t="s">
        <v>3231</v>
      </c>
    </row>
    <row r="28" spans="1:12" x14ac:dyDescent="0.35">
      <c r="A28" s="16" t="s">
        <v>317</v>
      </c>
      <c r="B28" s="17">
        <v>45416.475740740738</v>
      </c>
      <c r="C28" s="16" t="s">
        <v>301</v>
      </c>
      <c r="D28" s="16" t="s">
        <v>302</v>
      </c>
      <c r="E28" s="16" t="s">
        <v>318</v>
      </c>
      <c r="F28" s="16" t="s">
        <v>69</v>
      </c>
      <c r="G28" s="16" t="s">
        <v>244</v>
      </c>
      <c r="H28" s="16" t="s">
        <v>277</v>
      </c>
      <c r="I28" s="16" t="s">
        <v>319</v>
      </c>
      <c r="J28" s="16" t="s">
        <v>234</v>
      </c>
      <c r="K28" s="16" t="s">
        <v>3251</v>
      </c>
      <c r="L28" s="16" t="s">
        <v>3231</v>
      </c>
    </row>
    <row r="29" spans="1:12" x14ac:dyDescent="0.35">
      <c r="A29" s="16" t="s">
        <v>320</v>
      </c>
      <c r="B29" s="17">
        <v>45672.103946759256</v>
      </c>
      <c r="C29" s="16" t="s">
        <v>216</v>
      </c>
      <c r="D29" s="16" t="s">
        <v>217</v>
      </c>
      <c r="E29" s="16" t="s">
        <v>321</v>
      </c>
      <c r="F29" s="16" t="s">
        <v>69</v>
      </c>
      <c r="G29" s="16" t="s">
        <v>244</v>
      </c>
      <c r="H29" s="16" t="s">
        <v>273</v>
      </c>
      <c r="I29" s="16" t="s">
        <v>322</v>
      </c>
      <c r="J29" s="16" t="s">
        <v>270</v>
      </c>
      <c r="K29" s="16" t="s">
        <v>3252</v>
      </c>
      <c r="L29" s="16" t="s">
        <v>3232</v>
      </c>
    </row>
    <row r="30" spans="1:12" x14ac:dyDescent="0.35">
      <c r="A30" s="16" t="s">
        <v>323</v>
      </c>
      <c r="B30" s="17">
        <v>45373.939618055556</v>
      </c>
      <c r="C30" s="16" t="s">
        <v>241</v>
      </c>
      <c r="D30" s="16" t="s">
        <v>242</v>
      </c>
      <c r="E30" s="16" t="s">
        <v>324</v>
      </c>
      <c r="F30" s="16" t="s">
        <v>237</v>
      </c>
      <c r="G30" s="16" t="s">
        <v>244</v>
      </c>
      <c r="H30" s="16" t="s">
        <v>277</v>
      </c>
      <c r="I30" s="16" t="s">
        <v>325</v>
      </c>
      <c r="J30" s="16" t="s">
        <v>249</v>
      </c>
      <c r="K30" s="16" t="s">
        <v>3238</v>
      </c>
      <c r="L30" s="16" t="s">
        <v>3230</v>
      </c>
    </row>
    <row r="31" spans="1:12" x14ac:dyDescent="0.35">
      <c r="A31" s="16" t="s">
        <v>326</v>
      </c>
      <c r="B31" s="17">
        <v>45835.600416666668</v>
      </c>
      <c r="C31" s="16" t="s">
        <v>228</v>
      </c>
      <c r="D31" s="16" t="s">
        <v>229</v>
      </c>
      <c r="E31" s="16" t="s">
        <v>327</v>
      </c>
      <c r="F31" s="16" t="s">
        <v>219</v>
      </c>
      <c r="G31" s="16" t="s">
        <v>244</v>
      </c>
      <c r="H31" s="16" t="s">
        <v>238</v>
      </c>
      <c r="I31" s="16" t="s">
        <v>328</v>
      </c>
      <c r="J31" s="16" t="s">
        <v>249</v>
      </c>
      <c r="K31" s="16" t="s">
        <v>3248</v>
      </c>
      <c r="L31" s="16" t="s">
        <v>3231</v>
      </c>
    </row>
    <row r="32" spans="1:12" x14ac:dyDescent="0.35">
      <c r="A32" s="16" t="s">
        <v>329</v>
      </c>
      <c r="B32" s="17">
        <v>45496.111134259256</v>
      </c>
      <c r="C32" s="16" t="s">
        <v>216</v>
      </c>
      <c r="D32" s="16" t="s">
        <v>217</v>
      </c>
      <c r="E32" s="16" t="s">
        <v>330</v>
      </c>
      <c r="F32" s="16" t="s">
        <v>69</v>
      </c>
      <c r="G32" s="16" t="s">
        <v>244</v>
      </c>
      <c r="H32" s="16" t="s">
        <v>221</v>
      </c>
      <c r="I32" s="16" t="s">
        <v>331</v>
      </c>
      <c r="J32" s="16" t="s">
        <v>249</v>
      </c>
      <c r="K32" s="16" t="s">
        <v>3252</v>
      </c>
      <c r="L32" s="16" t="s">
        <v>3232</v>
      </c>
    </row>
    <row r="33" spans="1:12" x14ac:dyDescent="0.35">
      <c r="A33" s="16" t="s">
        <v>332</v>
      </c>
      <c r="B33" s="17">
        <v>45875.239305555559</v>
      </c>
      <c r="C33" s="16" t="s">
        <v>216</v>
      </c>
      <c r="D33" s="16" t="s">
        <v>217</v>
      </c>
      <c r="E33" s="16" t="s">
        <v>333</v>
      </c>
      <c r="F33" s="16" t="s">
        <v>219</v>
      </c>
      <c r="G33" s="16" t="s">
        <v>244</v>
      </c>
      <c r="H33" s="16" t="s">
        <v>277</v>
      </c>
      <c r="I33" s="16" t="s">
        <v>334</v>
      </c>
      <c r="J33" s="16" t="s">
        <v>270</v>
      </c>
      <c r="K33" s="16" t="s">
        <v>3253</v>
      </c>
      <c r="L33" s="16" t="s">
        <v>3234</v>
      </c>
    </row>
    <row r="34" spans="1:12" x14ac:dyDescent="0.35">
      <c r="A34" s="16" t="s">
        <v>335</v>
      </c>
      <c r="B34" s="17">
        <v>45567.401203703703</v>
      </c>
      <c r="C34" s="16" t="s">
        <v>241</v>
      </c>
      <c r="D34" s="16" t="s">
        <v>242</v>
      </c>
      <c r="E34" s="16" t="s">
        <v>336</v>
      </c>
      <c r="F34" s="16" t="s">
        <v>69</v>
      </c>
      <c r="G34" s="16" t="s">
        <v>244</v>
      </c>
      <c r="H34" s="16" t="s">
        <v>238</v>
      </c>
      <c r="I34" s="16" t="s">
        <v>337</v>
      </c>
      <c r="J34" s="16" t="s">
        <v>249</v>
      </c>
      <c r="K34" s="16" t="s">
        <v>3253</v>
      </c>
      <c r="L34" s="16" t="s">
        <v>3234</v>
      </c>
    </row>
    <row r="35" spans="1:12" x14ac:dyDescent="0.35">
      <c r="A35" s="16" t="s">
        <v>338</v>
      </c>
      <c r="B35" s="17">
        <v>45708.962152777778</v>
      </c>
      <c r="C35" s="16" t="s">
        <v>241</v>
      </c>
      <c r="D35" s="16" t="s">
        <v>242</v>
      </c>
      <c r="E35" s="16" t="s">
        <v>339</v>
      </c>
      <c r="F35" s="16" t="s">
        <v>219</v>
      </c>
      <c r="G35" s="16" t="s">
        <v>231</v>
      </c>
      <c r="H35" s="16" t="s">
        <v>277</v>
      </c>
      <c r="I35" s="16" t="s">
        <v>340</v>
      </c>
      <c r="J35" s="16" t="s">
        <v>270</v>
      </c>
      <c r="K35" s="16" t="s">
        <v>3254</v>
      </c>
      <c r="L35" s="16" t="s">
        <v>3232</v>
      </c>
    </row>
    <row r="36" spans="1:12" x14ac:dyDescent="0.35">
      <c r="A36" s="16" t="s">
        <v>341</v>
      </c>
      <c r="B36" s="17">
        <v>45299.506006944444</v>
      </c>
      <c r="C36" s="16" t="s">
        <v>260</v>
      </c>
      <c r="D36" s="16" t="s">
        <v>261</v>
      </c>
      <c r="E36" s="16" t="s">
        <v>342</v>
      </c>
      <c r="F36" s="16" t="s">
        <v>219</v>
      </c>
      <c r="G36" s="16" t="s">
        <v>231</v>
      </c>
      <c r="H36" s="16" t="s">
        <v>238</v>
      </c>
      <c r="I36" s="16" t="s">
        <v>343</v>
      </c>
      <c r="J36" s="16" t="s">
        <v>223</v>
      </c>
      <c r="K36" s="16" t="s">
        <v>3241</v>
      </c>
      <c r="L36" s="16" t="s">
        <v>3231</v>
      </c>
    </row>
    <row r="37" spans="1:12" x14ac:dyDescent="0.35">
      <c r="A37" s="16" t="s">
        <v>344</v>
      </c>
      <c r="B37" s="17">
        <v>45311.169710648152</v>
      </c>
      <c r="C37" s="16" t="s">
        <v>241</v>
      </c>
      <c r="D37" s="16" t="s">
        <v>242</v>
      </c>
      <c r="E37" s="16" t="s">
        <v>345</v>
      </c>
      <c r="F37" s="16" t="s">
        <v>219</v>
      </c>
      <c r="G37" s="16" t="s">
        <v>220</v>
      </c>
      <c r="H37" s="16" t="s">
        <v>232</v>
      </c>
      <c r="I37" s="16" t="s">
        <v>346</v>
      </c>
      <c r="J37" s="16" t="s">
        <v>249</v>
      </c>
      <c r="K37" s="16" t="s">
        <v>3248</v>
      </c>
      <c r="L37" s="16" t="s">
        <v>3231</v>
      </c>
    </row>
    <row r="38" spans="1:12" x14ac:dyDescent="0.35">
      <c r="A38" s="16" t="s">
        <v>347</v>
      </c>
      <c r="B38" s="17">
        <v>46172.193333333336</v>
      </c>
      <c r="C38" s="16" t="s">
        <v>241</v>
      </c>
      <c r="D38" s="16" t="s">
        <v>242</v>
      </c>
      <c r="E38" s="16" t="s">
        <v>348</v>
      </c>
      <c r="F38" s="16" t="s">
        <v>237</v>
      </c>
      <c r="G38" s="16" t="s">
        <v>231</v>
      </c>
      <c r="H38" s="16" t="s">
        <v>273</v>
      </c>
      <c r="I38" s="16" t="s">
        <v>349</v>
      </c>
      <c r="J38" s="16" t="s">
        <v>234</v>
      </c>
      <c r="K38" s="16" t="s">
        <v>3255</v>
      </c>
      <c r="L38" s="16" t="s">
        <v>3235</v>
      </c>
    </row>
    <row r="39" spans="1:12" x14ac:dyDescent="0.35">
      <c r="A39" s="16" t="s">
        <v>350</v>
      </c>
      <c r="B39" s="17">
        <v>46124.941562499997</v>
      </c>
      <c r="C39" s="16" t="s">
        <v>228</v>
      </c>
      <c r="D39" s="16" t="s">
        <v>229</v>
      </c>
      <c r="E39" s="16" t="s">
        <v>351</v>
      </c>
      <c r="F39" s="16" t="s">
        <v>69</v>
      </c>
      <c r="G39" s="16" t="s">
        <v>220</v>
      </c>
      <c r="H39" s="16" t="s">
        <v>221</v>
      </c>
      <c r="I39" s="16" t="s">
        <v>352</v>
      </c>
      <c r="J39" s="16" t="s">
        <v>270</v>
      </c>
      <c r="K39" s="16" t="s">
        <v>3255</v>
      </c>
      <c r="L39" s="16" t="s">
        <v>3235</v>
      </c>
    </row>
    <row r="40" spans="1:12" x14ac:dyDescent="0.35">
      <c r="A40" s="16" t="s">
        <v>353</v>
      </c>
      <c r="B40" s="17">
        <v>45800.404745370368</v>
      </c>
      <c r="C40" s="16" t="s">
        <v>228</v>
      </c>
      <c r="D40" s="16" t="s">
        <v>229</v>
      </c>
      <c r="E40" s="16" t="s">
        <v>354</v>
      </c>
      <c r="F40" s="16" t="s">
        <v>219</v>
      </c>
      <c r="G40" s="16" t="s">
        <v>220</v>
      </c>
      <c r="H40" s="16" t="s">
        <v>238</v>
      </c>
      <c r="I40" s="16" t="s">
        <v>355</v>
      </c>
      <c r="J40" s="16" t="s">
        <v>223</v>
      </c>
      <c r="K40" s="16" t="s">
        <v>3249</v>
      </c>
      <c r="L40" s="16" t="s">
        <v>3232</v>
      </c>
    </row>
    <row r="41" spans="1:12" x14ac:dyDescent="0.35">
      <c r="A41" s="16" t="s">
        <v>356</v>
      </c>
      <c r="B41" s="17">
        <v>46008.46297453704</v>
      </c>
      <c r="C41" s="16" t="s">
        <v>228</v>
      </c>
      <c r="D41" s="16" t="s">
        <v>229</v>
      </c>
      <c r="E41" s="16" t="s">
        <v>357</v>
      </c>
      <c r="F41" s="16" t="s">
        <v>69</v>
      </c>
      <c r="G41" s="16" t="s">
        <v>220</v>
      </c>
      <c r="H41" s="16" t="s">
        <v>277</v>
      </c>
      <c r="I41" s="16" t="s">
        <v>358</v>
      </c>
      <c r="J41" s="16" t="s">
        <v>249</v>
      </c>
      <c r="K41" s="16" t="s">
        <v>3253</v>
      </c>
      <c r="L41" s="16" t="s">
        <v>3234</v>
      </c>
    </row>
    <row r="42" spans="1:12" x14ac:dyDescent="0.35">
      <c r="A42" s="16" t="s">
        <v>359</v>
      </c>
      <c r="B42" s="17">
        <v>46011.97314814815</v>
      </c>
      <c r="C42" s="16" t="s">
        <v>301</v>
      </c>
      <c r="D42" s="16" t="s">
        <v>302</v>
      </c>
      <c r="E42" s="16" t="s">
        <v>360</v>
      </c>
      <c r="F42" s="16" t="s">
        <v>237</v>
      </c>
      <c r="G42" s="16" t="s">
        <v>244</v>
      </c>
      <c r="H42" s="16" t="s">
        <v>221</v>
      </c>
      <c r="I42" s="16" t="s">
        <v>361</v>
      </c>
      <c r="J42" s="16" t="s">
        <v>270</v>
      </c>
      <c r="K42" s="16" t="s">
        <v>3255</v>
      </c>
      <c r="L42" s="16" t="s">
        <v>3235</v>
      </c>
    </row>
    <row r="43" spans="1:12" x14ac:dyDescent="0.35">
      <c r="A43" s="16" t="s">
        <v>362</v>
      </c>
      <c r="B43" s="17">
        <v>45835.058032407411</v>
      </c>
      <c r="C43" s="16" t="s">
        <v>216</v>
      </c>
      <c r="D43" s="16" t="s">
        <v>217</v>
      </c>
      <c r="E43" s="16" t="s">
        <v>363</v>
      </c>
      <c r="F43" s="16" t="s">
        <v>219</v>
      </c>
      <c r="G43" s="16" t="s">
        <v>231</v>
      </c>
      <c r="H43" s="16" t="s">
        <v>238</v>
      </c>
      <c r="I43" s="16" t="s">
        <v>364</v>
      </c>
      <c r="J43" s="16" t="s">
        <v>249</v>
      </c>
      <c r="K43" s="16" t="s">
        <v>3248</v>
      </c>
      <c r="L43" s="16" t="s">
        <v>3231</v>
      </c>
    </row>
    <row r="44" spans="1:12" x14ac:dyDescent="0.35">
      <c r="A44" s="16" t="s">
        <v>365</v>
      </c>
      <c r="B44" s="17">
        <v>45528.584351851852</v>
      </c>
      <c r="C44" s="16" t="s">
        <v>260</v>
      </c>
      <c r="D44" s="16" t="s">
        <v>261</v>
      </c>
      <c r="E44" s="16" t="s">
        <v>366</v>
      </c>
      <c r="F44" s="16" t="s">
        <v>69</v>
      </c>
      <c r="G44" s="16" t="s">
        <v>231</v>
      </c>
      <c r="H44" s="16" t="s">
        <v>273</v>
      </c>
      <c r="I44" s="16" t="s">
        <v>367</v>
      </c>
      <c r="J44" s="16" t="s">
        <v>223</v>
      </c>
      <c r="K44" s="16" t="s">
        <v>3252</v>
      </c>
      <c r="L44" s="16" t="s">
        <v>3232</v>
      </c>
    </row>
    <row r="45" spans="1:12" x14ac:dyDescent="0.35">
      <c r="A45" s="16" t="s">
        <v>368</v>
      </c>
      <c r="B45" s="17">
        <v>45695.552534722221</v>
      </c>
      <c r="C45" s="16" t="s">
        <v>216</v>
      </c>
      <c r="D45" s="16" t="s">
        <v>217</v>
      </c>
      <c r="E45" s="16" t="s">
        <v>369</v>
      </c>
      <c r="F45" s="16" t="s">
        <v>69</v>
      </c>
      <c r="G45" s="16" t="s">
        <v>244</v>
      </c>
      <c r="H45" s="16" t="s">
        <v>273</v>
      </c>
      <c r="I45" s="16" t="s">
        <v>370</v>
      </c>
      <c r="J45" s="16" t="s">
        <v>249</v>
      </c>
      <c r="K45" s="16" t="s">
        <v>3256</v>
      </c>
      <c r="L45" s="16" t="s">
        <v>3231</v>
      </c>
    </row>
    <row r="46" spans="1:12" x14ac:dyDescent="0.35">
      <c r="A46" s="16" t="s">
        <v>371</v>
      </c>
      <c r="B46" s="17">
        <v>45925.619537037041</v>
      </c>
      <c r="C46" s="16" t="s">
        <v>216</v>
      </c>
      <c r="D46" s="16" t="s">
        <v>217</v>
      </c>
      <c r="E46" s="16" t="s">
        <v>372</v>
      </c>
      <c r="F46" s="16" t="s">
        <v>237</v>
      </c>
      <c r="G46" s="16" t="s">
        <v>244</v>
      </c>
      <c r="H46" s="16" t="s">
        <v>238</v>
      </c>
      <c r="I46" s="16" t="s">
        <v>373</v>
      </c>
      <c r="J46" s="16" t="s">
        <v>234</v>
      </c>
      <c r="K46" s="16" t="s">
        <v>3248</v>
      </c>
      <c r="L46" s="16" t="s">
        <v>3231</v>
      </c>
    </row>
    <row r="47" spans="1:12" x14ac:dyDescent="0.35">
      <c r="A47" s="16" t="s">
        <v>374</v>
      </c>
      <c r="B47" s="17">
        <v>45648.933749999997</v>
      </c>
      <c r="C47" s="16" t="s">
        <v>228</v>
      </c>
      <c r="D47" s="16" t="s">
        <v>229</v>
      </c>
      <c r="E47" s="16" t="s">
        <v>375</v>
      </c>
      <c r="F47" s="16" t="s">
        <v>237</v>
      </c>
      <c r="G47" s="16" t="s">
        <v>231</v>
      </c>
      <c r="H47" s="16" t="s">
        <v>232</v>
      </c>
      <c r="I47" s="16" t="s">
        <v>376</v>
      </c>
      <c r="J47" s="16" t="s">
        <v>249</v>
      </c>
      <c r="K47" s="16" t="s">
        <v>3245</v>
      </c>
      <c r="L47" s="16" t="s">
        <v>3232</v>
      </c>
    </row>
    <row r="48" spans="1:12" x14ac:dyDescent="0.35">
      <c r="A48" s="16" t="s">
        <v>377</v>
      </c>
      <c r="B48" s="17">
        <v>45951.705393518518</v>
      </c>
      <c r="C48" s="16" t="s">
        <v>301</v>
      </c>
      <c r="D48" s="16" t="s">
        <v>302</v>
      </c>
      <c r="E48" s="16" t="s">
        <v>378</v>
      </c>
      <c r="F48" s="16" t="s">
        <v>237</v>
      </c>
      <c r="G48" s="16" t="s">
        <v>244</v>
      </c>
      <c r="H48" s="16" t="s">
        <v>277</v>
      </c>
      <c r="I48" s="16" t="s">
        <v>379</v>
      </c>
      <c r="J48" s="16" t="s">
        <v>223</v>
      </c>
      <c r="K48" s="16" t="s">
        <v>3241</v>
      </c>
      <c r="L48" s="16" t="s">
        <v>3231</v>
      </c>
    </row>
    <row r="49" spans="1:12" x14ac:dyDescent="0.35">
      <c r="A49" s="16" t="s">
        <v>380</v>
      </c>
      <c r="B49" s="17">
        <v>46347.960185185184</v>
      </c>
      <c r="C49" s="16" t="s">
        <v>228</v>
      </c>
      <c r="D49" s="16" t="s">
        <v>229</v>
      </c>
      <c r="E49" s="16" t="s">
        <v>381</v>
      </c>
      <c r="F49" s="16" t="s">
        <v>237</v>
      </c>
      <c r="G49" s="16" t="s">
        <v>220</v>
      </c>
      <c r="H49" s="16" t="s">
        <v>221</v>
      </c>
      <c r="I49" s="16" t="s">
        <v>382</v>
      </c>
      <c r="J49" s="16" t="s">
        <v>249</v>
      </c>
      <c r="K49" s="16" t="s">
        <v>3257</v>
      </c>
      <c r="L49" s="16" t="s">
        <v>3234</v>
      </c>
    </row>
    <row r="50" spans="1:12" x14ac:dyDescent="0.35">
      <c r="A50" s="16" t="s">
        <v>383</v>
      </c>
      <c r="B50" s="17">
        <v>45342.070104166669</v>
      </c>
      <c r="C50" s="16" t="s">
        <v>228</v>
      </c>
      <c r="D50" s="16" t="s">
        <v>229</v>
      </c>
      <c r="E50" s="16" t="s">
        <v>384</v>
      </c>
      <c r="F50" s="16" t="s">
        <v>237</v>
      </c>
      <c r="G50" s="16" t="s">
        <v>244</v>
      </c>
      <c r="H50" s="16" t="s">
        <v>277</v>
      </c>
      <c r="I50" s="16" t="s">
        <v>385</v>
      </c>
      <c r="J50" s="16" t="s">
        <v>223</v>
      </c>
      <c r="K50" s="16" t="s">
        <v>3246</v>
      </c>
      <c r="L50" s="16" t="s">
        <v>3234</v>
      </c>
    </row>
    <row r="51" spans="1:12" x14ac:dyDescent="0.35">
      <c r="A51" s="16" t="s">
        <v>386</v>
      </c>
      <c r="B51" s="17">
        <v>46304.60628472222</v>
      </c>
      <c r="C51" s="16" t="s">
        <v>241</v>
      </c>
      <c r="D51" s="16" t="s">
        <v>242</v>
      </c>
      <c r="E51" s="16" t="s">
        <v>387</v>
      </c>
      <c r="F51" s="16" t="s">
        <v>69</v>
      </c>
      <c r="G51" s="16" t="s">
        <v>244</v>
      </c>
      <c r="H51" s="16" t="s">
        <v>277</v>
      </c>
      <c r="I51" s="16" t="s">
        <v>388</v>
      </c>
      <c r="J51" s="16" t="s">
        <v>223</v>
      </c>
      <c r="K51" s="16" t="s">
        <v>3241</v>
      </c>
      <c r="L51" s="16" t="s">
        <v>3231</v>
      </c>
    </row>
    <row r="52" spans="1:12" x14ac:dyDescent="0.35">
      <c r="A52" s="16" t="s">
        <v>389</v>
      </c>
      <c r="B52" s="17">
        <v>46243.076180555552</v>
      </c>
      <c r="C52" s="16" t="s">
        <v>228</v>
      </c>
      <c r="D52" s="16" t="s">
        <v>229</v>
      </c>
      <c r="E52" s="16" t="s">
        <v>390</v>
      </c>
      <c r="F52" s="16" t="s">
        <v>69</v>
      </c>
      <c r="G52" s="16" t="s">
        <v>220</v>
      </c>
      <c r="H52" s="16" t="s">
        <v>277</v>
      </c>
      <c r="I52" s="16" t="s">
        <v>391</v>
      </c>
      <c r="J52" s="16" t="s">
        <v>223</v>
      </c>
      <c r="K52" s="16" t="s">
        <v>3245</v>
      </c>
      <c r="L52" s="16" t="s">
        <v>3232</v>
      </c>
    </row>
    <row r="53" spans="1:12" x14ac:dyDescent="0.35">
      <c r="A53" s="16" t="s">
        <v>392</v>
      </c>
      <c r="B53" s="17">
        <v>45941.671388888892</v>
      </c>
      <c r="C53" s="16" t="s">
        <v>241</v>
      </c>
      <c r="D53" s="16" t="s">
        <v>242</v>
      </c>
      <c r="E53" s="16" t="s">
        <v>393</v>
      </c>
      <c r="F53" s="16" t="s">
        <v>219</v>
      </c>
      <c r="G53" s="16" t="s">
        <v>244</v>
      </c>
      <c r="H53" s="16" t="s">
        <v>273</v>
      </c>
      <c r="I53" s="16" t="s">
        <v>394</v>
      </c>
      <c r="J53" s="16" t="s">
        <v>223</v>
      </c>
      <c r="K53" s="16" t="s">
        <v>3258</v>
      </c>
      <c r="L53" s="16" t="s">
        <v>3235</v>
      </c>
    </row>
    <row r="54" spans="1:12" x14ac:dyDescent="0.35">
      <c r="A54" s="16" t="s">
        <v>395</v>
      </c>
      <c r="B54" s="17">
        <v>45822.375069444446</v>
      </c>
      <c r="C54" s="16" t="s">
        <v>228</v>
      </c>
      <c r="D54" s="16" t="s">
        <v>229</v>
      </c>
      <c r="E54" s="16" t="s">
        <v>396</v>
      </c>
      <c r="F54" s="16" t="s">
        <v>237</v>
      </c>
      <c r="G54" s="16" t="s">
        <v>244</v>
      </c>
      <c r="H54" s="16" t="s">
        <v>232</v>
      </c>
      <c r="I54" s="16" t="s">
        <v>397</v>
      </c>
      <c r="J54" s="16" t="s">
        <v>234</v>
      </c>
      <c r="K54" s="16" t="s">
        <v>3239</v>
      </c>
      <c r="L54" s="16" t="s">
        <v>3235</v>
      </c>
    </row>
    <row r="55" spans="1:12" x14ac:dyDescent="0.35">
      <c r="A55" s="16" t="s">
        <v>398</v>
      </c>
      <c r="B55" s="17">
        <v>45877.355729166666</v>
      </c>
      <c r="C55" s="16" t="s">
        <v>301</v>
      </c>
      <c r="D55" s="16" t="s">
        <v>302</v>
      </c>
      <c r="E55" s="16" t="s">
        <v>399</v>
      </c>
      <c r="F55" s="16" t="s">
        <v>237</v>
      </c>
      <c r="G55" s="16" t="s">
        <v>231</v>
      </c>
      <c r="H55" s="16" t="s">
        <v>232</v>
      </c>
      <c r="I55" s="16" t="s">
        <v>400</v>
      </c>
      <c r="J55" s="16" t="s">
        <v>234</v>
      </c>
      <c r="K55" s="16" t="s">
        <v>3239</v>
      </c>
      <c r="L55" s="16" t="s">
        <v>3235</v>
      </c>
    </row>
    <row r="56" spans="1:12" x14ac:dyDescent="0.35">
      <c r="A56" s="16" t="s">
        <v>401</v>
      </c>
      <c r="B56" s="17">
        <v>45604.324571759258</v>
      </c>
      <c r="C56" s="16" t="s">
        <v>228</v>
      </c>
      <c r="D56" s="16" t="s">
        <v>229</v>
      </c>
      <c r="E56" s="16" t="s">
        <v>402</v>
      </c>
      <c r="F56" s="16" t="s">
        <v>237</v>
      </c>
      <c r="G56" s="16" t="s">
        <v>231</v>
      </c>
      <c r="H56" s="16" t="s">
        <v>277</v>
      </c>
      <c r="I56" s="16" t="s">
        <v>403</v>
      </c>
      <c r="J56" s="16" t="s">
        <v>223</v>
      </c>
      <c r="K56" s="16" t="s">
        <v>3241</v>
      </c>
      <c r="L56" s="16" t="s">
        <v>3231</v>
      </c>
    </row>
    <row r="57" spans="1:12" x14ac:dyDescent="0.35">
      <c r="A57" s="16" t="s">
        <v>404</v>
      </c>
      <c r="B57" s="17">
        <v>46152.590844907405</v>
      </c>
      <c r="C57" s="16" t="s">
        <v>260</v>
      </c>
      <c r="D57" s="16" t="s">
        <v>261</v>
      </c>
      <c r="E57" s="16" t="s">
        <v>405</v>
      </c>
      <c r="F57" s="16" t="s">
        <v>219</v>
      </c>
      <c r="G57" s="16" t="s">
        <v>220</v>
      </c>
      <c r="H57" s="16" t="s">
        <v>221</v>
      </c>
      <c r="I57" s="16" t="s">
        <v>406</v>
      </c>
      <c r="J57" s="16" t="s">
        <v>270</v>
      </c>
      <c r="K57" s="16" t="s">
        <v>3245</v>
      </c>
      <c r="L57" s="16" t="s">
        <v>3232</v>
      </c>
    </row>
    <row r="58" spans="1:12" x14ac:dyDescent="0.35">
      <c r="A58" s="16" t="s">
        <v>407</v>
      </c>
      <c r="B58" s="17">
        <v>46150.816493055558</v>
      </c>
      <c r="C58" s="16" t="s">
        <v>301</v>
      </c>
      <c r="D58" s="16" t="s">
        <v>302</v>
      </c>
      <c r="E58" s="16" t="s">
        <v>408</v>
      </c>
      <c r="F58" s="16" t="s">
        <v>219</v>
      </c>
      <c r="G58" s="16" t="s">
        <v>220</v>
      </c>
      <c r="H58" s="16" t="s">
        <v>238</v>
      </c>
      <c r="I58" s="16" t="s">
        <v>409</v>
      </c>
      <c r="J58" s="16" t="s">
        <v>249</v>
      </c>
      <c r="K58" s="16" t="s">
        <v>3243</v>
      </c>
      <c r="L58" s="16" t="s">
        <v>3234</v>
      </c>
    </row>
    <row r="59" spans="1:12" x14ac:dyDescent="0.35">
      <c r="A59" s="16" t="s">
        <v>410</v>
      </c>
      <c r="B59" s="17">
        <v>46088.509918981479</v>
      </c>
      <c r="C59" s="16" t="s">
        <v>260</v>
      </c>
      <c r="D59" s="16" t="s">
        <v>261</v>
      </c>
      <c r="E59" s="16" t="s">
        <v>411</v>
      </c>
      <c r="F59" s="16" t="s">
        <v>219</v>
      </c>
      <c r="G59" s="16" t="s">
        <v>231</v>
      </c>
      <c r="H59" s="16" t="s">
        <v>232</v>
      </c>
      <c r="I59" s="16" t="s">
        <v>412</v>
      </c>
      <c r="J59" s="16" t="s">
        <v>234</v>
      </c>
      <c r="K59" s="16" t="s">
        <v>3229</v>
      </c>
      <c r="L59" s="16" t="s">
        <v>3230</v>
      </c>
    </row>
    <row r="60" spans="1:12" x14ac:dyDescent="0.35">
      <c r="A60" s="16" t="s">
        <v>413</v>
      </c>
      <c r="B60" s="17">
        <v>46098.897916666669</v>
      </c>
      <c r="C60" s="16" t="s">
        <v>241</v>
      </c>
      <c r="D60" s="16" t="s">
        <v>242</v>
      </c>
      <c r="E60" s="16" t="s">
        <v>414</v>
      </c>
      <c r="F60" s="16" t="s">
        <v>219</v>
      </c>
      <c r="G60" s="16" t="s">
        <v>220</v>
      </c>
      <c r="H60" s="16" t="s">
        <v>273</v>
      </c>
      <c r="I60" s="16" t="s">
        <v>415</v>
      </c>
      <c r="J60" s="16" t="s">
        <v>223</v>
      </c>
      <c r="K60" s="16" t="s">
        <v>3242</v>
      </c>
      <c r="L60" s="16" t="s">
        <v>3232</v>
      </c>
    </row>
    <row r="61" spans="1:12" x14ac:dyDescent="0.35">
      <c r="A61" s="16" t="s">
        <v>416</v>
      </c>
      <c r="B61" s="17">
        <v>45394.39466435185</v>
      </c>
      <c r="C61" s="16" t="s">
        <v>228</v>
      </c>
      <c r="D61" s="16" t="s">
        <v>229</v>
      </c>
      <c r="E61" s="16" t="s">
        <v>417</v>
      </c>
      <c r="F61" s="16" t="s">
        <v>237</v>
      </c>
      <c r="G61" s="16" t="s">
        <v>220</v>
      </c>
      <c r="H61" s="16" t="s">
        <v>232</v>
      </c>
      <c r="I61" s="16" t="s">
        <v>418</v>
      </c>
      <c r="J61" s="16" t="s">
        <v>249</v>
      </c>
      <c r="K61" s="16" t="s">
        <v>3247</v>
      </c>
      <c r="L61" s="16" t="s">
        <v>3234</v>
      </c>
    </row>
    <row r="62" spans="1:12" x14ac:dyDescent="0.35">
      <c r="A62" s="16" t="s">
        <v>419</v>
      </c>
      <c r="B62" s="17">
        <v>45808.124247685184</v>
      </c>
      <c r="C62" s="16" t="s">
        <v>260</v>
      </c>
      <c r="D62" s="16" t="s">
        <v>261</v>
      </c>
      <c r="E62" s="16" t="s">
        <v>420</v>
      </c>
      <c r="F62" s="16" t="s">
        <v>69</v>
      </c>
      <c r="G62" s="16" t="s">
        <v>244</v>
      </c>
      <c r="H62" s="16" t="s">
        <v>238</v>
      </c>
      <c r="I62" s="16" t="s">
        <v>421</v>
      </c>
      <c r="J62" s="16" t="s">
        <v>249</v>
      </c>
      <c r="K62" s="16" t="s">
        <v>3236</v>
      </c>
      <c r="L62" s="16" t="s">
        <v>3230</v>
      </c>
    </row>
    <row r="63" spans="1:12" x14ac:dyDescent="0.35">
      <c r="A63" s="16" t="s">
        <v>422</v>
      </c>
      <c r="B63" s="17">
        <v>45355.375127314815</v>
      </c>
      <c r="C63" s="16" t="s">
        <v>228</v>
      </c>
      <c r="D63" s="16" t="s">
        <v>229</v>
      </c>
      <c r="E63" s="16" t="s">
        <v>423</v>
      </c>
      <c r="F63" s="16" t="s">
        <v>69</v>
      </c>
      <c r="G63" s="16" t="s">
        <v>244</v>
      </c>
      <c r="H63" s="16" t="s">
        <v>221</v>
      </c>
      <c r="I63" s="16" t="s">
        <v>424</v>
      </c>
      <c r="J63" s="16" t="s">
        <v>234</v>
      </c>
      <c r="K63" s="16" t="s">
        <v>3247</v>
      </c>
      <c r="L63" s="16" t="s">
        <v>3234</v>
      </c>
    </row>
    <row r="64" spans="1:12" x14ac:dyDescent="0.35">
      <c r="A64" s="16" t="s">
        <v>425</v>
      </c>
      <c r="B64" s="17">
        <v>45738.705462962964</v>
      </c>
      <c r="C64" s="16" t="s">
        <v>260</v>
      </c>
      <c r="D64" s="16" t="s">
        <v>261</v>
      </c>
      <c r="E64" s="16" t="s">
        <v>426</v>
      </c>
      <c r="F64" s="16" t="s">
        <v>237</v>
      </c>
      <c r="G64" s="16" t="s">
        <v>220</v>
      </c>
      <c r="H64" s="16" t="s">
        <v>221</v>
      </c>
      <c r="I64" s="16" t="s">
        <v>427</v>
      </c>
      <c r="J64" s="16" t="s">
        <v>249</v>
      </c>
      <c r="K64" s="16" t="s">
        <v>3247</v>
      </c>
      <c r="L64" s="16" t="s">
        <v>3234</v>
      </c>
    </row>
    <row r="65" spans="1:12" x14ac:dyDescent="0.35">
      <c r="A65" s="16" t="s">
        <v>428</v>
      </c>
      <c r="B65" s="17">
        <v>45930.873495370368</v>
      </c>
      <c r="C65" s="16" t="s">
        <v>216</v>
      </c>
      <c r="D65" s="16" t="s">
        <v>217</v>
      </c>
      <c r="E65" s="16" t="s">
        <v>429</v>
      </c>
      <c r="F65" s="16" t="s">
        <v>237</v>
      </c>
      <c r="G65" s="16" t="s">
        <v>231</v>
      </c>
      <c r="H65" s="16" t="s">
        <v>273</v>
      </c>
      <c r="I65" s="16" t="s">
        <v>430</v>
      </c>
      <c r="J65" s="16" t="s">
        <v>234</v>
      </c>
      <c r="K65" s="16" t="s">
        <v>3251</v>
      </c>
      <c r="L65" s="16" t="s">
        <v>3231</v>
      </c>
    </row>
    <row r="66" spans="1:12" x14ac:dyDescent="0.35">
      <c r="A66" s="16" t="s">
        <v>431</v>
      </c>
      <c r="B66" s="17">
        <v>45539.858530092592</v>
      </c>
      <c r="C66" s="16" t="s">
        <v>216</v>
      </c>
      <c r="D66" s="16" t="s">
        <v>217</v>
      </c>
      <c r="E66" s="16" t="s">
        <v>432</v>
      </c>
      <c r="F66" s="16" t="s">
        <v>237</v>
      </c>
      <c r="G66" s="16" t="s">
        <v>244</v>
      </c>
      <c r="H66" s="16" t="s">
        <v>238</v>
      </c>
      <c r="I66" s="16" t="s">
        <v>433</v>
      </c>
      <c r="J66" s="16" t="s">
        <v>249</v>
      </c>
      <c r="K66" s="16" t="s">
        <v>3229</v>
      </c>
      <c r="L66" s="16" t="s">
        <v>3230</v>
      </c>
    </row>
    <row r="67" spans="1:12" x14ac:dyDescent="0.35">
      <c r="A67" s="16" t="s">
        <v>434</v>
      </c>
      <c r="B67" s="17">
        <v>45317.637233796297</v>
      </c>
      <c r="C67" s="16" t="s">
        <v>216</v>
      </c>
      <c r="D67" s="16" t="s">
        <v>217</v>
      </c>
      <c r="E67" s="16" t="s">
        <v>435</v>
      </c>
      <c r="F67" s="16" t="s">
        <v>69</v>
      </c>
      <c r="G67" s="16" t="s">
        <v>231</v>
      </c>
      <c r="H67" s="16" t="s">
        <v>273</v>
      </c>
      <c r="I67" s="16" t="s">
        <v>436</v>
      </c>
      <c r="J67" s="16" t="s">
        <v>223</v>
      </c>
      <c r="K67" s="16" t="s">
        <v>3258</v>
      </c>
      <c r="L67" s="16" t="s">
        <v>3235</v>
      </c>
    </row>
    <row r="68" spans="1:12" x14ac:dyDescent="0.35">
      <c r="A68" s="16" t="s">
        <v>437</v>
      </c>
      <c r="B68" s="17">
        <v>46360.986759259256</v>
      </c>
      <c r="C68" s="16" t="s">
        <v>228</v>
      </c>
      <c r="D68" s="16" t="s">
        <v>229</v>
      </c>
      <c r="E68" s="16" t="s">
        <v>438</v>
      </c>
      <c r="F68" s="16" t="s">
        <v>219</v>
      </c>
      <c r="G68" s="16" t="s">
        <v>244</v>
      </c>
      <c r="H68" s="16" t="s">
        <v>232</v>
      </c>
      <c r="I68" s="16" t="s">
        <v>439</v>
      </c>
      <c r="J68" s="16" t="s">
        <v>223</v>
      </c>
      <c r="K68" s="16" t="s">
        <v>3248</v>
      </c>
      <c r="L68" s="16" t="s">
        <v>3231</v>
      </c>
    </row>
    <row r="69" spans="1:12" x14ac:dyDescent="0.35">
      <c r="A69" s="16" t="s">
        <v>440</v>
      </c>
      <c r="B69" s="17">
        <v>45794.131469907406</v>
      </c>
      <c r="C69" s="16" t="s">
        <v>241</v>
      </c>
      <c r="D69" s="16" t="s">
        <v>242</v>
      </c>
      <c r="E69" s="16" t="s">
        <v>441</v>
      </c>
      <c r="F69" s="16" t="s">
        <v>237</v>
      </c>
      <c r="G69" s="16" t="s">
        <v>220</v>
      </c>
      <c r="H69" s="16" t="s">
        <v>238</v>
      </c>
      <c r="I69" s="16" t="s">
        <v>442</v>
      </c>
      <c r="J69" s="16" t="s">
        <v>223</v>
      </c>
      <c r="K69" s="16" t="s">
        <v>3256</v>
      </c>
      <c r="L69" s="16" t="s">
        <v>3231</v>
      </c>
    </row>
    <row r="70" spans="1:12" x14ac:dyDescent="0.35">
      <c r="A70" s="16" t="s">
        <v>443</v>
      </c>
      <c r="B70" s="17">
        <v>45957.275856481479</v>
      </c>
      <c r="C70" s="16" t="s">
        <v>301</v>
      </c>
      <c r="D70" s="16" t="s">
        <v>302</v>
      </c>
      <c r="E70" s="16" t="s">
        <v>444</v>
      </c>
      <c r="F70" s="16" t="s">
        <v>69</v>
      </c>
      <c r="G70" s="16" t="s">
        <v>231</v>
      </c>
      <c r="H70" s="16" t="s">
        <v>221</v>
      </c>
      <c r="I70" s="16" t="s">
        <v>445</v>
      </c>
      <c r="J70" s="16" t="s">
        <v>249</v>
      </c>
      <c r="K70" s="16" t="s">
        <v>3249</v>
      </c>
      <c r="L70" s="16" t="s">
        <v>3232</v>
      </c>
    </row>
    <row r="71" spans="1:12" x14ac:dyDescent="0.35">
      <c r="A71" s="16" t="s">
        <v>446</v>
      </c>
      <c r="B71" s="17">
        <v>45312.783738425926</v>
      </c>
      <c r="C71" s="16" t="s">
        <v>241</v>
      </c>
      <c r="D71" s="16" t="s">
        <v>242</v>
      </c>
      <c r="E71" s="16" t="s">
        <v>447</v>
      </c>
      <c r="F71" s="16" t="s">
        <v>69</v>
      </c>
      <c r="G71" s="16" t="s">
        <v>220</v>
      </c>
      <c r="H71" s="16" t="s">
        <v>238</v>
      </c>
      <c r="I71" s="16" t="s">
        <v>448</v>
      </c>
      <c r="J71" s="16" t="s">
        <v>234</v>
      </c>
      <c r="K71" s="16" t="s">
        <v>3237</v>
      </c>
      <c r="L71" s="16" t="s">
        <v>3230</v>
      </c>
    </row>
    <row r="72" spans="1:12" x14ac:dyDescent="0.35">
      <c r="A72" s="16" t="s">
        <v>449</v>
      </c>
      <c r="B72" s="17">
        <v>45327.141157407408</v>
      </c>
      <c r="C72" s="16" t="s">
        <v>260</v>
      </c>
      <c r="D72" s="16" t="s">
        <v>261</v>
      </c>
      <c r="E72" s="16" t="s">
        <v>450</v>
      </c>
      <c r="F72" s="16" t="s">
        <v>69</v>
      </c>
      <c r="G72" s="16" t="s">
        <v>231</v>
      </c>
      <c r="H72" s="16" t="s">
        <v>232</v>
      </c>
      <c r="I72" s="16" t="s">
        <v>451</v>
      </c>
      <c r="J72" s="16" t="s">
        <v>249</v>
      </c>
      <c r="K72" s="16" t="s">
        <v>3255</v>
      </c>
      <c r="L72" s="16" t="s">
        <v>3235</v>
      </c>
    </row>
    <row r="73" spans="1:12" x14ac:dyDescent="0.35">
      <c r="A73" s="16" t="s">
        <v>452</v>
      </c>
      <c r="B73" s="17">
        <v>45996.645497685182</v>
      </c>
      <c r="C73" s="16" t="s">
        <v>260</v>
      </c>
      <c r="D73" s="16" t="s">
        <v>261</v>
      </c>
      <c r="E73" s="16" t="s">
        <v>453</v>
      </c>
      <c r="F73" s="16" t="s">
        <v>237</v>
      </c>
      <c r="G73" s="16" t="s">
        <v>231</v>
      </c>
      <c r="H73" s="16" t="s">
        <v>273</v>
      </c>
      <c r="I73" s="16" t="s">
        <v>454</v>
      </c>
      <c r="J73" s="16" t="s">
        <v>249</v>
      </c>
      <c r="K73" s="16" t="s">
        <v>3259</v>
      </c>
      <c r="L73" s="16" t="s">
        <v>3235</v>
      </c>
    </row>
    <row r="74" spans="1:12" x14ac:dyDescent="0.35">
      <c r="A74" s="16" t="s">
        <v>455</v>
      </c>
      <c r="B74" s="17">
        <v>45686.478692129633</v>
      </c>
      <c r="C74" s="16" t="s">
        <v>301</v>
      </c>
      <c r="D74" s="16" t="s">
        <v>302</v>
      </c>
      <c r="E74" s="16" t="s">
        <v>456</v>
      </c>
      <c r="F74" s="16" t="s">
        <v>219</v>
      </c>
      <c r="G74" s="16" t="s">
        <v>244</v>
      </c>
      <c r="H74" s="16" t="s">
        <v>277</v>
      </c>
      <c r="I74" s="16" t="s">
        <v>457</v>
      </c>
      <c r="J74" s="16" t="s">
        <v>234</v>
      </c>
      <c r="K74" s="16" t="s">
        <v>3251</v>
      </c>
      <c r="L74" s="16" t="s">
        <v>3231</v>
      </c>
    </row>
    <row r="75" spans="1:12" x14ac:dyDescent="0.35">
      <c r="A75" s="16" t="s">
        <v>458</v>
      </c>
      <c r="B75" s="17">
        <v>46366.905347222222</v>
      </c>
      <c r="C75" s="16" t="s">
        <v>260</v>
      </c>
      <c r="D75" s="16" t="s">
        <v>261</v>
      </c>
      <c r="E75" s="16" t="s">
        <v>459</v>
      </c>
      <c r="F75" s="16" t="s">
        <v>69</v>
      </c>
      <c r="G75" s="16" t="s">
        <v>220</v>
      </c>
      <c r="H75" s="16" t="s">
        <v>238</v>
      </c>
      <c r="I75" s="16" t="s">
        <v>460</v>
      </c>
      <c r="J75" s="16" t="s">
        <v>249</v>
      </c>
      <c r="K75" s="16" t="s">
        <v>3255</v>
      </c>
      <c r="L75" s="16" t="s">
        <v>3235</v>
      </c>
    </row>
    <row r="76" spans="1:12" x14ac:dyDescent="0.35">
      <c r="A76" s="16" t="s">
        <v>461</v>
      </c>
      <c r="B76" s="17">
        <v>46385.192025462966</v>
      </c>
      <c r="C76" s="16" t="s">
        <v>228</v>
      </c>
      <c r="D76" s="16" t="s">
        <v>229</v>
      </c>
      <c r="E76" s="16" t="s">
        <v>462</v>
      </c>
      <c r="F76" s="16" t="s">
        <v>69</v>
      </c>
      <c r="G76" s="16" t="s">
        <v>220</v>
      </c>
      <c r="H76" s="16" t="s">
        <v>238</v>
      </c>
      <c r="I76" s="16" t="s">
        <v>463</v>
      </c>
      <c r="J76" s="16" t="s">
        <v>234</v>
      </c>
      <c r="K76" s="16" t="s">
        <v>3254</v>
      </c>
      <c r="L76" s="16" t="s">
        <v>3232</v>
      </c>
    </row>
    <row r="77" spans="1:12" x14ac:dyDescent="0.35">
      <c r="A77" s="16" t="s">
        <v>464</v>
      </c>
      <c r="B77" s="17">
        <v>45874.712083333332</v>
      </c>
      <c r="C77" s="16" t="s">
        <v>260</v>
      </c>
      <c r="D77" s="16" t="s">
        <v>261</v>
      </c>
      <c r="E77" s="16" t="s">
        <v>465</v>
      </c>
      <c r="F77" s="16" t="s">
        <v>237</v>
      </c>
      <c r="G77" s="16" t="s">
        <v>231</v>
      </c>
      <c r="H77" s="16" t="s">
        <v>221</v>
      </c>
      <c r="I77" s="16" t="s">
        <v>466</v>
      </c>
      <c r="J77" s="16" t="s">
        <v>249</v>
      </c>
      <c r="K77" s="16" t="s">
        <v>3245</v>
      </c>
      <c r="L77" s="16" t="s">
        <v>3232</v>
      </c>
    </row>
    <row r="78" spans="1:12" x14ac:dyDescent="0.35">
      <c r="A78" s="16" t="s">
        <v>467</v>
      </c>
      <c r="B78" s="17">
        <v>46112.745995370373</v>
      </c>
      <c r="C78" s="16" t="s">
        <v>260</v>
      </c>
      <c r="D78" s="16" t="s">
        <v>261</v>
      </c>
      <c r="E78" s="16" t="s">
        <v>468</v>
      </c>
      <c r="F78" s="16" t="s">
        <v>219</v>
      </c>
      <c r="G78" s="16" t="s">
        <v>244</v>
      </c>
      <c r="H78" s="16" t="s">
        <v>221</v>
      </c>
      <c r="I78" s="16" t="s">
        <v>469</v>
      </c>
      <c r="J78" s="16" t="s">
        <v>234</v>
      </c>
      <c r="K78" s="16" t="s">
        <v>3259</v>
      </c>
      <c r="L78" s="16" t="s">
        <v>3235</v>
      </c>
    </row>
    <row r="79" spans="1:12" x14ac:dyDescent="0.35">
      <c r="A79" s="16" t="s">
        <v>470</v>
      </c>
      <c r="B79" s="17">
        <v>45800.1796875</v>
      </c>
      <c r="C79" s="16" t="s">
        <v>241</v>
      </c>
      <c r="D79" s="16" t="s">
        <v>242</v>
      </c>
      <c r="E79" s="16" t="s">
        <v>471</v>
      </c>
      <c r="F79" s="16" t="s">
        <v>237</v>
      </c>
      <c r="G79" s="16" t="s">
        <v>244</v>
      </c>
      <c r="H79" s="16" t="s">
        <v>238</v>
      </c>
      <c r="I79" s="16" t="s">
        <v>472</v>
      </c>
      <c r="J79" s="16" t="s">
        <v>223</v>
      </c>
      <c r="K79" s="16" t="s">
        <v>3258</v>
      </c>
      <c r="L79" s="16" t="s">
        <v>3235</v>
      </c>
    </row>
    <row r="80" spans="1:12" x14ac:dyDescent="0.35">
      <c r="A80" s="16" t="s">
        <v>473</v>
      </c>
      <c r="B80" s="17">
        <v>46170.463263888887</v>
      </c>
      <c r="C80" s="16" t="s">
        <v>260</v>
      </c>
      <c r="D80" s="16" t="s">
        <v>261</v>
      </c>
      <c r="E80" s="16" t="s">
        <v>474</v>
      </c>
      <c r="F80" s="16" t="s">
        <v>219</v>
      </c>
      <c r="G80" s="16" t="s">
        <v>220</v>
      </c>
      <c r="H80" s="16" t="s">
        <v>232</v>
      </c>
      <c r="I80" s="16" t="s">
        <v>475</v>
      </c>
      <c r="J80" s="16" t="s">
        <v>234</v>
      </c>
      <c r="K80" s="16" t="s">
        <v>3243</v>
      </c>
      <c r="L80" s="16" t="s">
        <v>3234</v>
      </c>
    </row>
    <row r="81" spans="1:12" x14ac:dyDescent="0.35">
      <c r="A81" s="16" t="s">
        <v>476</v>
      </c>
      <c r="B81" s="17">
        <v>45783.263680555552</v>
      </c>
      <c r="C81" s="16" t="s">
        <v>301</v>
      </c>
      <c r="D81" s="16" t="s">
        <v>302</v>
      </c>
      <c r="E81" s="16" t="s">
        <v>477</v>
      </c>
      <c r="F81" s="16" t="s">
        <v>69</v>
      </c>
      <c r="G81" s="16" t="s">
        <v>220</v>
      </c>
      <c r="H81" s="16" t="s">
        <v>221</v>
      </c>
      <c r="I81" s="16" t="s">
        <v>478</v>
      </c>
      <c r="J81" s="16" t="s">
        <v>223</v>
      </c>
      <c r="K81" s="16" t="s">
        <v>3237</v>
      </c>
      <c r="L81" s="16" t="s">
        <v>3230</v>
      </c>
    </row>
    <row r="82" spans="1:12" x14ac:dyDescent="0.35">
      <c r="A82" s="16" t="s">
        <v>479</v>
      </c>
      <c r="B82" s="17">
        <v>45358.351157407407</v>
      </c>
      <c r="C82" s="16" t="s">
        <v>241</v>
      </c>
      <c r="D82" s="16" t="s">
        <v>242</v>
      </c>
      <c r="E82" s="16" t="s">
        <v>480</v>
      </c>
      <c r="F82" s="16" t="s">
        <v>219</v>
      </c>
      <c r="G82" s="16" t="s">
        <v>231</v>
      </c>
      <c r="H82" s="16" t="s">
        <v>232</v>
      </c>
      <c r="I82" s="16" t="s">
        <v>481</v>
      </c>
      <c r="J82" s="16" t="s">
        <v>234</v>
      </c>
      <c r="K82" s="16" t="s">
        <v>3241</v>
      </c>
      <c r="L82" s="16" t="s">
        <v>3231</v>
      </c>
    </row>
    <row r="83" spans="1:12" x14ac:dyDescent="0.35">
      <c r="A83" s="16" t="s">
        <v>482</v>
      </c>
      <c r="B83" s="17">
        <v>46162.174108796295</v>
      </c>
      <c r="C83" s="16" t="s">
        <v>301</v>
      </c>
      <c r="D83" s="16" t="s">
        <v>302</v>
      </c>
      <c r="E83" s="16" t="s">
        <v>483</v>
      </c>
      <c r="F83" s="16" t="s">
        <v>69</v>
      </c>
      <c r="G83" s="16" t="s">
        <v>244</v>
      </c>
      <c r="H83" s="16" t="s">
        <v>273</v>
      </c>
      <c r="I83" s="16" t="s">
        <v>484</v>
      </c>
      <c r="J83" s="16" t="s">
        <v>234</v>
      </c>
      <c r="K83" s="16" t="s">
        <v>3238</v>
      </c>
      <c r="L83" s="16" t="s">
        <v>3230</v>
      </c>
    </row>
    <row r="84" spans="1:12" x14ac:dyDescent="0.35">
      <c r="A84" s="16" t="s">
        <v>485</v>
      </c>
      <c r="B84" s="17">
        <v>45921.902696759258</v>
      </c>
      <c r="C84" s="16" t="s">
        <v>216</v>
      </c>
      <c r="D84" s="16" t="s">
        <v>217</v>
      </c>
      <c r="E84" s="16" t="s">
        <v>486</v>
      </c>
      <c r="F84" s="16" t="s">
        <v>237</v>
      </c>
      <c r="G84" s="16" t="s">
        <v>231</v>
      </c>
      <c r="H84" s="16" t="s">
        <v>221</v>
      </c>
      <c r="I84" s="16" t="s">
        <v>487</v>
      </c>
      <c r="J84" s="16" t="s">
        <v>249</v>
      </c>
      <c r="K84" s="16" t="s">
        <v>3259</v>
      </c>
      <c r="L84" s="16" t="s">
        <v>3235</v>
      </c>
    </row>
    <row r="85" spans="1:12" x14ac:dyDescent="0.35">
      <c r="A85" s="16" t="s">
        <v>488</v>
      </c>
      <c r="B85" s="17">
        <v>46303.664085648146</v>
      </c>
      <c r="C85" s="16" t="s">
        <v>260</v>
      </c>
      <c r="D85" s="16" t="s">
        <v>261</v>
      </c>
      <c r="E85" s="16" t="s">
        <v>489</v>
      </c>
      <c r="F85" s="16" t="s">
        <v>219</v>
      </c>
      <c r="G85" s="16" t="s">
        <v>220</v>
      </c>
      <c r="H85" s="16" t="s">
        <v>238</v>
      </c>
      <c r="I85" s="16" t="s">
        <v>490</v>
      </c>
      <c r="J85" s="16" t="s">
        <v>249</v>
      </c>
      <c r="K85" s="16" t="s">
        <v>3236</v>
      </c>
      <c r="L85" s="16" t="s">
        <v>3230</v>
      </c>
    </row>
    <row r="86" spans="1:12" x14ac:dyDescent="0.35">
      <c r="A86" s="16" t="s">
        <v>491</v>
      </c>
      <c r="B86" s="17">
        <v>45479.347280092596</v>
      </c>
      <c r="C86" s="16" t="s">
        <v>241</v>
      </c>
      <c r="D86" s="16" t="s">
        <v>242</v>
      </c>
      <c r="E86" s="16" t="s">
        <v>492</v>
      </c>
      <c r="F86" s="16" t="s">
        <v>219</v>
      </c>
      <c r="G86" s="16" t="s">
        <v>244</v>
      </c>
      <c r="H86" s="16" t="s">
        <v>238</v>
      </c>
      <c r="I86" s="16" t="s">
        <v>493</v>
      </c>
      <c r="J86" s="16" t="s">
        <v>249</v>
      </c>
      <c r="K86" s="16" t="s">
        <v>3233</v>
      </c>
      <c r="L86" s="16" t="s">
        <v>3230</v>
      </c>
    </row>
    <row r="87" spans="1:12" x14ac:dyDescent="0.35">
      <c r="A87" s="16" t="s">
        <v>494</v>
      </c>
      <c r="B87" s="17">
        <v>46255.787280092591</v>
      </c>
      <c r="C87" s="16" t="s">
        <v>241</v>
      </c>
      <c r="D87" s="16" t="s">
        <v>242</v>
      </c>
      <c r="E87" s="16" t="s">
        <v>495</v>
      </c>
      <c r="F87" s="16" t="s">
        <v>237</v>
      </c>
      <c r="G87" s="16" t="s">
        <v>231</v>
      </c>
      <c r="H87" s="16" t="s">
        <v>221</v>
      </c>
      <c r="I87" s="16" t="s">
        <v>496</v>
      </c>
      <c r="J87" s="16" t="s">
        <v>223</v>
      </c>
      <c r="K87" s="16" t="s">
        <v>3242</v>
      </c>
      <c r="L87" s="16" t="s">
        <v>3232</v>
      </c>
    </row>
    <row r="88" spans="1:12" x14ac:dyDescent="0.35">
      <c r="A88" s="16" t="s">
        <v>497</v>
      </c>
      <c r="B88" s="17">
        <v>46004.619479166664</v>
      </c>
      <c r="C88" s="16" t="s">
        <v>260</v>
      </c>
      <c r="D88" s="16" t="s">
        <v>261</v>
      </c>
      <c r="E88" s="16" t="s">
        <v>498</v>
      </c>
      <c r="F88" s="16" t="s">
        <v>237</v>
      </c>
      <c r="G88" s="16" t="s">
        <v>244</v>
      </c>
      <c r="H88" s="16" t="s">
        <v>221</v>
      </c>
      <c r="I88" s="16" t="s">
        <v>499</v>
      </c>
      <c r="J88" s="16" t="s">
        <v>249</v>
      </c>
      <c r="K88" s="16" t="s">
        <v>3247</v>
      </c>
      <c r="L88" s="16" t="s">
        <v>3234</v>
      </c>
    </row>
    <row r="89" spans="1:12" x14ac:dyDescent="0.35">
      <c r="A89" s="16" t="s">
        <v>500</v>
      </c>
      <c r="B89" s="17">
        <v>46112.834513888891</v>
      </c>
      <c r="C89" s="16" t="s">
        <v>260</v>
      </c>
      <c r="D89" s="16" t="s">
        <v>261</v>
      </c>
      <c r="E89" s="16" t="s">
        <v>501</v>
      </c>
      <c r="F89" s="16" t="s">
        <v>237</v>
      </c>
      <c r="G89" s="16" t="s">
        <v>220</v>
      </c>
      <c r="H89" s="16" t="s">
        <v>232</v>
      </c>
      <c r="I89" s="16" t="s">
        <v>502</v>
      </c>
      <c r="J89" s="16" t="s">
        <v>249</v>
      </c>
      <c r="K89" s="16" t="s">
        <v>3254</v>
      </c>
      <c r="L89" s="16" t="s">
        <v>3232</v>
      </c>
    </row>
    <row r="90" spans="1:12" x14ac:dyDescent="0.35">
      <c r="A90" s="16" t="s">
        <v>503</v>
      </c>
      <c r="B90" s="17">
        <v>45294.997685185182</v>
      </c>
      <c r="C90" s="16" t="s">
        <v>216</v>
      </c>
      <c r="D90" s="16" t="s">
        <v>217</v>
      </c>
      <c r="E90" s="16" t="s">
        <v>504</v>
      </c>
      <c r="F90" s="16" t="s">
        <v>237</v>
      </c>
      <c r="G90" s="16" t="s">
        <v>231</v>
      </c>
      <c r="H90" s="16" t="s">
        <v>232</v>
      </c>
      <c r="I90" s="16" t="s">
        <v>505</v>
      </c>
      <c r="J90" s="16" t="s">
        <v>249</v>
      </c>
      <c r="K90" s="16" t="s">
        <v>3244</v>
      </c>
      <c r="L90" s="16" t="s">
        <v>3235</v>
      </c>
    </row>
    <row r="91" spans="1:12" x14ac:dyDescent="0.35">
      <c r="A91" s="16" t="s">
        <v>506</v>
      </c>
      <c r="B91" s="17">
        <v>45397.308796296296</v>
      </c>
      <c r="C91" s="16" t="s">
        <v>241</v>
      </c>
      <c r="D91" s="16" t="s">
        <v>242</v>
      </c>
      <c r="E91" s="16" t="s">
        <v>507</v>
      </c>
      <c r="F91" s="16" t="s">
        <v>219</v>
      </c>
      <c r="G91" s="16" t="s">
        <v>220</v>
      </c>
      <c r="H91" s="16" t="s">
        <v>232</v>
      </c>
      <c r="I91" s="16" t="s">
        <v>508</v>
      </c>
      <c r="J91" s="16" t="s">
        <v>223</v>
      </c>
      <c r="K91" s="16" t="s">
        <v>3246</v>
      </c>
      <c r="L91" s="16" t="s">
        <v>3234</v>
      </c>
    </row>
    <row r="92" spans="1:12" x14ac:dyDescent="0.35">
      <c r="A92" s="16" t="s">
        <v>509</v>
      </c>
      <c r="B92" s="17">
        <v>45782.240254629629</v>
      </c>
      <c r="C92" s="16" t="s">
        <v>216</v>
      </c>
      <c r="D92" s="16" t="s">
        <v>217</v>
      </c>
      <c r="E92" s="16" t="s">
        <v>510</v>
      </c>
      <c r="F92" s="16" t="s">
        <v>219</v>
      </c>
      <c r="G92" s="16" t="s">
        <v>220</v>
      </c>
      <c r="H92" s="16" t="s">
        <v>221</v>
      </c>
      <c r="I92" s="16" t="s">
        <v>511</v>
      </c>
      <c r="J92" s="16" t="s">
        <v>234</v>
      </c>
      <c r="K92" s="16" t="s">
        <v>3255</v>
      </c>
      <c r="L92" s="16" t="s">
        <v>3235</v>
      </c>
    </row>
    <row r="93" spans="1:12" x14ac:dyDescent="0.35">
      <c r="A93" s="16" t="s">
        <v>512</v>
      </c>
      <c r="B93" s="17">
        <v>45607.756053240744</v>
      </c>
      <c r="C93" s="16" t="s">
        <v>216</v>
      </c>
      <c r="D93" s="16" t="s">
        <v>217</v>
      </c>
      <c r="E93" s="16" t="s">
        <v>513</v>
      </c>
      <c r="F93" s="16" t="s">
        <v>219</v>
      </c>
      <c r="G93" s="16" t="s">
        <v>244</v>
      </c>
      <c r="H93" s="16" t="s">
        <v>232</v>
      </c>
      <c r="I93" s="16" t="s">
        <v>514</v>
      </c>
      <c r="J93" s="16" t="s">
        <v>223</v>
      </c>
      <c r="K93" s="16" t="s">
        <v>3256</v>
      </c>
      <c r="L93" s="16" t="s">
        <v>3231</v>
      </c>
    </row>
    <row r="94" spans="1:12" x14ac:dyDescent="0.35">
      <c r="A94" s="16" t="s">
        <v>515</v>
      </c>
      <c r="B94" s="17">
        <v>45588.581909722219</v>
      </c>
      <c r="C94" s="16" t="s">
        <v>260</v>
      </c>
      <c r="D94" s="16" t="s">
        <v>261</v>
      </c>
      <c r="E94" s="16" t="s">
        <v>516</v>
      </c>
      <c r="F94" s="16" t="s">
        <v>219</v>
      </c>
      <c r="G94" s="16" t="s">
        <v>244</v>
      </c>
      <c r="H94" s="16" t="s">
        <v>277</v>
      </c>
      <c r="I94" s="16" t="s">
        <v>517</v>
      </c>
      <c r="J94" s="16" t="s">
        <v>249</v>
      </c>
      <c r="K94" s="16" t="s">
        <v>3256</v>
      </c>
      <c r="L94" s="16" t="s">
        <v>3231</v>
      </c>
    </row>
    <row r="95" spans="1:12" x14ac:dyDescent="0.35">
      <c r="A95" s="16" t="s">
        <v>518</v>
      </c>
      <c r="B95" s="17">
        <v>45839.003888888888</v>
      </c>
      <c r="C95" s="16" t="s">
        <v>260</v>
      </c>
      <c r="D95" s="16" t="s">
        <v>261</v>
      </c>
      <c r="E95" s="16" t="s">
        <v>519</v>
      </c>
      <c r="F95" s="16" t="s">
        <v>219</v>
      </c>
      <c r="G95" s="16" t="s">
        <v>231</v>
      </c>
      <c r="H95" s="16" t="s">
        <v>238</v>
      </c>
      <c r="I95" s="16" t="s">
        <v>520</v>
      </c>
      <c r="J95" s="16" t="s">
        <v>223</v>
      </c>
      <c r="K95" s="16" t="s">
        <v>3239</v>
      </c>
      <c r="L95" s="16" t="s">
        <v>3235</v>
      </c>
    </row>
    <row r="96" spans="1:12" x14ac:dyDescent="0.35">
      <c r="A96" s="16" t="s">
        <v>521</v>
      </c>
      <c r="B96" s="17">
        <v>45972.837268518517</v>
      </c>
      <c r="C96" s="16" t="s">
        <v>241</v>
      </c>
      <c r="D96" s="16" t="s">
        <v>242</v>
      </c>
      <c r="E96" s="16" t="s">
        <v>522</v>
      </c>
      <c r="F96" s="16" t="s">
        <v>237</v>
      </c>
      <c r="G96" s="16" t="s">
        <v>231</v>
      </c>
      <c r="H96" s="16" t="s">
        <v>232</v>
      </c>
      <c r="I96" s="16" t="s">
        <v>523</v>
      </c>
      <c r="J96" s="16" t="s">
        <v>234</v>
      </c>
      <c r="K96" s="16" t="s">
        <v>3238</v>
      </c>
      <c r="L96" s="16" t="s">
        <v>3230</v>
      </c>
    </row>
    <row r="97" spans="1:12" x14ac:dyDescent="0.35">
      <c r="A97" s="16" t="s">
        <v>524</v>
      </c>
      <c r="B97" s="17">
        <v>46133.066203703704</v>
      </c>
      <c r="C97" s="16" t="s">
        <v>241</v>
      </c>
      <c r="D97" s="16" t="s">
        <v>242</v>
      </c>
      <c r="E97" s="16" t="s">
        <v>525</v>
      </c>
      <c r="F97" s="16" t="s">
        <v>219</v>
      </c>
      <c r="G97" s="16" t="s">
        <v>231</v>
      </c>
      <c r="H97" s="16" t="s">
        <v>232</v>
      </c>
      <c r="I97" s="16" t="s">
        <v>526</v>
      </c>
      <c r="J97" s="16" t="s">
        <v>234</v>
      </c>
      <c r="K97" s="16" t="s">
        <v>3252</v>
      </c>
      <c r="L97" s="16" t="s">
        <v>3232</v>
      </c>
    </row>
    <row r="98" spans="1:12" x14ac:dyDescent="0.35">
      <c r="A98" s="16" t="s">
        <v>527</v>
      </c>
      <c r="B98" s="17">
        <v>46320.895324074074</v>
      </c>
      <c r="C98" s="16" t="s">
        <v>260</v>
      </c>
      <c r="D98" s="16" t="s">
        <v>261</v>
      </c>
      <c r="E98" s="16" t="s">
        <v>528</v>
      </c>
      <c r="F98" s="16" t="s">
        <v>69</v>
      </c>
      <c r="G98" s="16" t="s">
        <v>231</v>
      </c>
      <c r="H98" s="16" t="s">
        <v>221</v>
      </c>
      <c r="I98" s="16" t="s">
        <v>529</v>
      </c>
      <c r="J98" s="16" t="s">
        <v>223</v>
      </c>
      <c r="K98" s="16" t="s">
        <v>3248</v>
      </c>
      <c r="L98" s="16" t="s">
        <v>3231</v>
      </c>
    </row>
    <row r="99" spans="1:12" x14ac:dyDescent="0.35">
      <c r="A99" s="16" t="s">
        <v>530</v>
      </c>
      <c r="B99" s="17">
        <v>45608.113506944443</v>
      </c>
      <c r="C99" s="16" t="s">
        <v>216</v>
      </c>
      <c r="D99" s="16" t="s">
        <v>217</v>
      </c>
      <c r="E99" s="16" t="s">
        <v>531</v>
      </c>
      <c r="F99" s="16" t="s">
        <v>237</v>
      </c>
      <c r="G99" s="16" t="s">
        <v>231</v>
      </c>
      <c r="H99" s="16" t="s">
        <v>277</v>
      </c>
      <c r="I99" s="16" t="s">
        <v>532</v>
      </c>
      <c r="J99" s="16" t="s">
        <v>270</v>
      </c>
      <c r="K99" s="16" t="s">
        <v>3244</v>
      </c>
      <c r="L99" s="16" t="s">
        <v>3235</v>
      </c>
    </row>
    <row r="100" spans="1:12" x14ac:dyDescent="0.35">
      <c r="A100" s="16" t="s">
        <v>533</v>
      </c>
      <c r="B100" s="17">
        <v>45940.950868055559</v>
      </c>
      <c r="C100" s="16" t="s">
        <v>301</v>
      </c>
      <c r="D100" s="16" t="s">
        <v>302</v>
      </c>
      <c r="E100" s="16" t="s">
        <v>534</v>
      </c>
      <c r="F100" s="16" t="s">
        <v>219</v>
      </c>
      <c r="G100" s="16" t="s">
        <v>220</v>
      </c>
      <c r="H100" s="16" t="s">
        <v>273</v>
      </c>
      <c r="I100" s="16" t="s">
        <v>535</v>
      </c>
      <c r="J100" s="16" t="s">
        <v>249</v>
      </c>
      <c r="K100" s="16" t="s">
        <v>3245</v>
      </c>
      <c r="L100" s="16" t="s">
        <v>3232</v>
      </c>
    </row>
    <row r="101" spans="1:12" x14ac:dyDescent="0.35">
      <c r="A101" s="16" t="s">
        <v>536</v>
      </c>
      <c r="B101" s="17">
        <v>45493.961412037039</v>
      </c>
      <c r="C101" s="16" t="s">
        <v>228</v>
      </c>
      <c r="D101" s="16" t="s">
        <v>229</v>
      </c>
      <c r="E101" s="16" t="s">
        <v>537</v>
      </c>
      <c r="F101" s="16" t="s">
        <v>237</v>
      </c>
      <c r="G101" s="16" t="s">
        <v>220</v>
      </c>
      <c r="H101" s="16" t="s">
        <v>221</v>
      </c>
      <c r="I101" s="16" t="s">
        <v>538</v>
      </c>
      <c r="J101" s="16" t="s">
        <v>270</v>
      </c>
      <c r="K101" s="16" t="s">
        <v>3252</v>
      </c>
      <c r="L101" s="16" t="s">
        <v>3232</v>
      </c>
    </row>
    <row r="102" spans="1:12" x14ac:dyDescent="0.35">
      <c r="A102" s="16" t="s">
        <v>539</v>
      </c>
      <c r="B102" s="17">
        <v>46026.568645833337</v>
      </c>
      <c r="C102" s="16" t="s">
        <v>301</v>
      </c>
      <c r="D102" s="16" t="s">
        <v>302</v>
      </c>
      <c r="E102" s="16" t="s">
        <v>540</v>
      </c>
      <c r="F102" s="16" t="s">
        <v>69</v>
      </c>
      <c r="G102" s="16" t="s">
        <v>220</v>
      </c>
      <c r="H102" s="16" t="s">
        <v>221</v>
      </c>
      <c r="I102" s="16" t="s">
        <v>541</v>
      </c>
      <c r="J102" s="16" t="s">
        <v>234</v>
      </c>
      <c r="K102" s="16" t="s">
        <v>3229</v>
      </c>
      <c r="L102" s="16" t="s">
        <v>3230</v>
      </c>
    </row>
    <row r="103" spans="1:12" x14ac:dyDescent="0.35">
      <c r="A103" s="16" t="s">
        <v>542</v>
      </c>
      <c r="B103" s="17">
        <v>46075.940115740741</v>
      </c>
      <c r="C103" s="16" t="s">
        <v>228</v>
      </c>
      <c r="D103" s="16" t="s">
        <v>229</v>
      </c>
      <c r="E103" s="16" t="s">
        <v>543</v>
      </c>
      <c r="F103" s="16" t="s">
        <v>69</v>
      </c>
      <c r="G103" s="16" t="s">
        <v>231</v>
      </c>
      <c r="H103" s="16" t="s">
        <v>277</v>
      </c>
      <c r="I103" s="16" t="s">
        <v>544</v>
      </c>
      <c r="J103" s="16" t="s">
        <v>223</v>
      </c>
      <c r="K103" s="16" t="s">
        <v>3252</v>
      </c>
      <c r="L103" s="16" t="s">
        <v>3232</v>
      </c>
    </row>
    <row r="104" spans="1:12" x14ac:dyDescent="0.35">
      <c r="A104" s="16" t="s">
        <v>545</v>
      </c>
      <c r="B104" s="17">
        <v>45311.70579861111</v>
      </c>
      <c r="C104" s="16" t="s">
        <v>301</v>
      </c>
      <c r="D104" s="16" t="s">
        <v>302</v>
      </c>
      <c r="E104" s="16" t="s">
        <v>546</v>
      </c>
      <c r="F104" s="16" t="s">
        <v>219</v>
      </c>
      <c r="G104" s="16" t="s">
        <v>244</v>
      </c>
      <c r="H104" s="16" t="s">
        <v>232</v>
      </c>
      <c r="I104" s="16" t="s">
        <v>547</v>
      </c>
      <c r="J104" s="16" t="s">
        <v>223</v>
      </c>
      <c r="K104" s="16" t="s">
        <v>3237</v>
      </c>
      <c r="L104" s="16" t="s">
        <v>3230</v>
      </c>
    </row>
    <row r="105" spans="1:12" x14ac:dyDescent="0.35">
      <c r="A105" s="16" t="s">
        <v>548</v>
      </c>
      <c r="B105" s="17">
        <v>46160.37939814815</v>
      </c>
      <c r="C105" s="16" t="s">
        <v>301</v>
      </c>
      <c r="D105" s="16" t="s">
        <v>302</v>
      </c>
      <c r="E105" s="16" t="s">
        <v>549</v>
      </c>
      <c r="F105" s="16" t="s">
        <v>237</v>
      </c>
      <c r="G105" s="16" t="s">
        <v>220</v>
      </c>
      <c r="H105" s="16" t="s">
        <v>273</v>
      </c>
      <c r="I105" s="16" t="s">
        <v>550</v>
      </c>
      <c r="J105" s="16" t="s">
        <v>270</v>
      </c>
      <c r="K105" s="16" t="s">
        <v>3233</v>
      </c>
      <c r="L105" s="16" t="s">
        <v>3230</v>
      </c>
    </row>
    <row r="106" spans="1:12" x14ac:dyDescent="0.35">
      <c r="A106" s="16" t="s">
        <v>551</v>
      </c>
      <c r="B106" s="17">
        <v>46027.872002314813</v>
      </c>
      <c r="C106" s="16" t="s">
        <v>228</v>
      </c>
      <c r="D106" s="16" t="s">
        <v>229</v>
      </c>
      <c r="E106" s="16" t="s">
        <v>552</v>
      </c>
      <c r="F106" s="16" t="s">
        <v>219</v>
      </c>
      <c r="G106" s="16" t="s">
        <v>231</v>
      </c>
      <c r="H106" s="16" t="s">
        <v>232</v>
      </c>
      <c r="I106" s="16" t="s">
        <v>553</v>
      </c>
      <c r="J106" s="16" t="s">
        <v>223</v>
      </c>
      <c r="K106" s="16" t="s">
        <v>3254</v>
      </c>
      <c r="L106" s="16" t="s">
        <v>3232</v>
      </c>
    </row>
    <row r="107" spans="1:12" x14ac:dyDescent="0.35">
      <c r="A107" s="16" t="s">
        <v>554</v>
      </c>
      <c r="B107" s="17">
        <v>45392.919930555552</v>
      </c>
      <c r="C107" s="16" t="s">
        <v>301</v>
      </c>
      <c r="D107" s="16" t="s">
        <v>302</v>
      </c>
      <c r="E107" s="16" t="s">
        <v>555</v>
      </c>
      <c r="F107" s="16" t="s">
        <v>237</v>
      </c>
      <c r="G107" s="16" t="s">
        <v>220</v>
      </c>
      <c r="H107" s="16" t="s">
        <v>221</v>
      </c>
      <c r="I107" s="16" t="s">
        <v>556</v>
      </c>
      <c r="J107" s="16" t="s">
        <v>234</v>
      </c>
      <c r="K107" s="16" t="s">
        <v>3246</v>
      </c>
      <c r="L107" s="16" t="s">
        <v>3234</v>
      </c>
    </row>
    <row r="108" spans="1:12" x14ac:dyDescent="0.35">
      <c r="A108" s="16" t="s">
        <v>557</v>
      </c>
      <c r="B108" s="17">
        <v>45490.951874999999</v>
      </c>
      <c r="C108" s="16" t="s">
        <v>241</v>
      </c>
      <c r="D108" s="16" t="s">
        <v>242</v>
      </c>
      <c r="E108" s="16" t="s">
        <v>558</v>
      </c>
      <c r="F108" s="16" t="s">
        <v>69</v>
      </c>
      <c r="G108" s="16" t="s">
        <v>231</v>
      </c>
      <c r="H108" s="16" t="s">
        <v>238</v>
      </c>
      <c r="I108" s="16" t="s">
        <v>559</v>
      </c>
      <c r="J108" s="16" t="s">
        <v>249</v>
      </c>
      <c r="K108" s="16" t="s">
        <v>3255</v>
      </c>
      <c r="L108" s="16" t="s">
        <v>3235</v>
      </c>
    </row>
    <row r="109" spans="1:12" x14ac:dyDescent="0.35">
      <c r="A109" s="16" t="s">
        <v>560</v>
      </c>
      <c r="B109" s="17">
        <v>45961.630324074074</v>
      </c>
      <c r="C109" s="16" t="s">
        <v>228</v>
      </c>
      <c r="D109" s="16" t="s">
        <v>229</v>
      </c>
      <c r="E109" s="16" t="s">
        <v>561</v>
      </c>
      <c r="F109" s="16" t="s">
        <v>69</v>
      </c>
      <c r="G109" s="16" t="s">
        <v>220</v>
      </c>
      <c r="H109" s="16" t="s">
        <v>221</v>
      </c>
      <c r="I109" s="16" t="s">
        <v>562</v>
      </c>
      <c r="J109" s="16" t="s">
        <v>249</v>
      </c>
      <c r="K109" s="16" t="s">
        <v>3244</v>
      </c>
      <c r="L109" s="16" t="s">
        <v>3235</v>
      </c>
    </row>
    <row r="110" spans="1:12" x14ac:dyDescent="0.35">
      <c r="A110" s="16" t="s">
        <v>563</v>
      </c>
      <c r="B110" s="17">
        <v>45896.513842592591</v>
      </c>
      <c r="C110" s="16" t="s">
        <v>228</v>
      </c>
      <c r="D110" s="16" t="s">
        <v>229</v>
      </c>
      <c r="E110" s="16" t="s">
        <v>564</v>
      </c>
      <c r="F110" s="16" t="s">
        <v>237</v>
      </c>
      <c r="G110" s="16" t="s">
        <v>220</v>
      </c>
      <c r="H110" s="16" t="s">
        <v>238</v>
      </c>
      <c r="I110" s="16" t="s">
        <v>565</v>
      </c>
      <c r="J110" s="16" t="s">
        <v>223</v>
      </c>
      <c r="K110" s="16" t="s">
        <v>3246</v>
      </c>
      <c r="L110" s="16" t="s">
        <v>3234</v>
      </c>
    </row>
    <row r="111" spans="1:12" x14ac:dyDescent="0.35">
      <c r="A111" s="16" t="s">
        <v>566</v>
      </c>
      <c r="B111" s="17">
        <v>46100.021111111113</v>
      </c>
      <c r="C111" s="16" t="s">
        <v>241</v>
      </c>
      <c r="D111" s="16" t="s">
        <v>242</v>
      </c>
      <c r="E111" s="16" t="s">
        <v>567</v>
      </c>
      <c r="F111" s="16" t="s">
        <v>219</v>
      </c>
      <c r="G111" s="16" t="s">
        <v>220</v>
      </c>
      <c r="H111" s="16" t="s">
        <v>238</v>
      </c>
      <c r="I111" s="16" t="s">
        <v>568</v>
      </c>
      <c r="J111" s="16" t="s">
        <v>249</v>
      </c>
      <c r="K111" s="16" t="s">
        <v>3257</v>
      </c>
      <c r="L111" s="16" t="s">
        <v>3234</v>
      </c>
    </row>
    <row r="112" spans="1:12" x14ac:dyDescent="0.35">
      <c r="A112" s="16" t="s">
        <v>569</v>
      </c>
      <c r="B112" s="17">
        <v>45513.354710648149</v>
      </c>
      <c r="C112" s="16" t="s">
        <v>241</v>
      </c>
      <c r="D112" s="16" t="s">
        <v>242</v>
      </c>
      <c r="E112" s="16" t="s">
        <v>570</v>
      </c>
      <c r="F112" s="16" t="s">
        <v>69</v>
      </c>
      <c r="G112" s="16" t="s">
        <v>244</v>
      </c>
      <c r="H112" s="16" t="s">
        <v>232</v>
      </c>
      <c r="I112" s="16" t="s">
        <v>571</v>
      </c>
      <c r="J112" s="16" t="s">
        <v>234</v>
      </c>
      <c r="K112" s="16" t="s">
        <v>3252</v>
      </c>
      <c r="L112" s="16" t="s">
        <v>3232</v>
      </c>
    </row>
    <row r="113" spans="1:12" x14ac:dyDescent="0.35">
      <c r="A113" s="16" t="s">
        <v>572</v>
      </c>
      <c r="B113" s="17">
        <v>46128.176990740743</v>
      </c>
      <c r="C113" s="16" t="s">
        <v>216</v>
      </c>
      <c r="D113" s="16" t="s">
        <v>217</v>
      </c>
      <c r="E113" s="16" t="s">
        <v>573</v>
      </c>
      <c r="F113" s="16" t="s">
        <v>69</v>
      </c>
      <c r="G113" s="16" t="s">
        <v>220</v>
      </c>
      <c r="H113" s="16" t="s">
        <v>232</v>
      </c>
      <c r="I113" s="16" t="s">
        <v>574</v>
      </c>
      <c r="J113" s="16" t="s">
        <v>270</v>
      </c>
      <c r="K113" s="16" t="s">
        <v>3236</v>
      </c>
      <c r="L113" s="16" t="s">
        <v>3230</v>
      </c>
    </row>
    <row r="114" spans="1:12" x14ac:dyDescent="0.35">
      <c r="A114" s="16" t="s">
        <v>575</v>
      </c>
      <c r="B114" s="17">
        <v>45569.589583333334</v>
      </c>
      <c r="C114" s="16" t="s">
        <v>216</v>
      </c>
      <c r="D114" s="16" t="s">
        <v>217</v>
      </c>
      <c r="E114" s="16" t="s">
        <v>576</v>
      </c>
      <c r="F114" s="16" t="s">
        <v>237</v>
      </c>
      <c r="G114" s="16" t="s">
        <v>244</v>
      </c>
      <c r="H114" s="16" t="s">
        <v>277</v>
      </c>
      <c r="I114" s="16" t="s">
        <v>577</v>
      </c>
      <c r="J114" s="16" t="s">
        <v>234</v>
      </c>
      <c r="K114" s="16" t="s">
        <v>3256</v>
      </c>
      <c r="L114" s="16" t="s">
        <v>3231</v>
      </c>
    </row>
    <row r="115" spans="1:12" x14ac:dyDescent="0.35">
      <c r="A115" s="16" t="s">
        <v>578</v>
      </c>
      <c r="B115" s="17">
        <v>46127.424375000002</v>
      </c>
      <c r="C115" s="16" t="s">
        <v>260</v>
      </c>
      <c r="D115" s="16" t="s">
        <v>261</v>
      </c>
      <c r="E115" s="16" t="s">
        <v>579</v>
      </c>
      <c r="F115" s="16" t="s">
        <v>219</v>
      </c>
      <c r="G115" s="16" t="s">
        <v>231</v>
      </c>
      <c r="H115" s="16" t="s">
        <v>221</v>
      </c>
      <c r="I115" s="16" t="s">
        <v>580</v>
      </c>
      <c r="J115" s="16" t="s">
        <v>223</v>
      </c>
      <c r="K115" s="16" t="s">
        <v>3257</v>
      </c>
      <c r="L115" s="16" t="s">
        <v>3234</v>
      </c>
    </row>
    <row r="116" spans="1:12" x14ac:dyDescent="0.35">
      <c r="A116" s="16" t="s">
        <v>581</v>
      </c>
      <c r="B116" s="17">
        <v>46044.825972222221</v>
      </c>
      <c r="C116" s="16" t="s">
        <v>228</v>
      </c>
      <c r="D116" s="16" t="s">
        <v>229</v>
      </c>
      <c r="E116" s="16" t="s">
        <v>582</v>
      </c>
      <c r="F116" s="16" t="s">
        <v>237</v>
      </c>
      <c r="G116" s="16" t="s">
        <v>220</v>
      </c>
      <c r="H116" s="16" t="s">
        <v>238</v>
      </c>
      <c r="I116" s="16" t="s">
        <v>583</v>
      </c>
      <c r="J116" s="16" t="s">
        <v>234</v>
      </c>
      <c r="K116" s="16" t="s">
        <v>3229</v>
      </c>
      <c r="L116" s="16" t="s">
        <v>3230</v>
      </c>
    </row>
    <row r="117" spans="1:12" x14ac:dyDescent="0.35">
      <c r="A117" s="16" t="s">
        <v>584</v>
      </c>
      <c r="B117" s="17">
        <v>45726.973483796297</v>
      </c>
      <c r="C117" s="16" t="s">
        <v>216</v>
      </c>
      <c r="D117" s="16" t="s">
        <v>217</v>
      </c>
      <c r="E117" s="16" t="s">
        <v>585</v>
      </c>
      <c r="F117" s="16" t="s">
        <v>219</v>
      </c>
      <c r="G117" s="16" t="s">
        <v>220</v>
      </c>
      <c r="H117" s="16" t="s">
        <v>232</v>
      </c>
      <c r="I117" s="16" t="s">
        <v>586</v>
      </c>
      <c r="J117" s="16" t="s">
        <v>234</v>
      </c>
      <c r="K117" s="16" t="s">
        <v>3236</v>
      </c>
      <c r="L117" s="16" t="s">
        <v>3230</v>
      </c>
    </row>
    <row r="118" spans="1:12" x14ac:dyDescent="0.35">
      <c r="A118" s="16" t="s">
        <v>587</v>
      </c>
      <c r="B118" s="17">
        <v>45432.840752314813</v>
      </c>
      <c r="C118" s="16" t="s">
        <v>228</v>
      </c>
      <c r="D118" s="16" t="s">
        <v>229</v>
      </c>
      <c r="E118" s="16" t="s">
        <v>588</v>
      </c>
      <c r="F118" s="16" t="s">
        <v>219</v>
      </c>
      <c r="G118" s="16" t="s">
        <v>220</v>
      </c>
      <c r="H118" s="16" t="s">
        <v>273</v>
      </c>
      <c r="I118" s="16" t="s">
        <v>589</v>
      </c>
      <c r="J118" s="16" t="s">
        <v>234</v>
      </c>
      <c r="K118" s="16" t="s">
        <v>3248</v>
      </c>
      <c r="L118" s="16" t="s">
        <v>3231</v>
      </c>
    </row>
    <row r="119" spans="1:12" x14ac:dyDescent="0.35">
      <c r="A119" s="16" t="s">
        <v>590</v>
      </c>
      <c r="B119" s="17">
        <v>45588.197199074071</v>
      </c>
      <c r="C119" s="16" t="s">
        <v>241</v>
      </c>
      <c r="D119" s="16" t="s">
        <v>242</v>
      </c>
      <c r="E119" s="16" t="s">
        <v>591</v>
      </c>
      <c r="F119" s="16" t="s">
        <v>237</v>
      </c>
      <c r="G119" s="16" t="s">
        <v>220</v>
      </c>
      <c r="H119" s="16" t="s">
        <v>221</v>
      </c>
      <c r="I119" s="16" t="s">
        <v>592</v>
      </c>
      <c r="J119" s="16" t="s">
        <v>270</v>
      </c>
      <c r="K119" s="16" t="s">
        <v>3242</v>
      </c>
      <c r="L119" s="16" t="s">
        <v>3232</v>
      </c>
    </row>
    <row r="120" spans="1:12" x14ac:dyDescent="0.35">
      <c r="A120" s="16" t="s">
        <v>593</v>
      </c>
      <c r="B120" s="17">
        <v>45779.893310185187</v>
      </c>
      <c r="C120" s="16" t="s">
        <v>228</v>
      </c>
      <c r="D120" s="16" t="s">
        <v>229</v>
      </c>
      <c r="E120" s="16" t="s">
        <v>594</v>
      </c>
      <c r="F120" s="16" t="s">
        <v>69</v>
      </c>
      <c r="G120" s="16" t="s">
        <v>220</v>
      </c>
      <c r="H120" s="16" t="s">
        <v>221</v>
      </c>
      <c r="I120" s="16" t="s">
        <v>595</v>
      </c>
      <c r="J120" s="16" t="s">
        <v>234</v>
      </c>
      <c r="K120" s="16" t="s">
        <v>3245</v>
      </c>
      <c r="L120" s="16" t="s">
        <v>3232</v>
      </c>
    </row>
    <row r="121" spans="1:12" x14ac:dyDescent="0.35">
      <c r="A121" s="16" t="s">
        <v>596</v>
      </c>
      <c r="B121" s="17">
        <v>45422.72247685185</v>
      </c>
      <c r="C121" s="16" t="s">
        <v>260</v>
      </c>
      <c r="D121" s="16" t="s">
        <v>261</v>
      </c>
      <c r="E121" s="16" t="s">
        <v>597</v>
      </c>
      <c r="F121" s="16" t="s">
        <v>237</v>
      </c>
      <c r="G121" s="16" t="s">
        <v>244</v>
      </c>
      <c r="H121" s="16" t="s">
        <v>273</v>
      </c>
      <c r="I121" s="16" t="s">
        <v>598</v>
      </c>
      <c r="J121" s="16" t="s">
        <v>234</v>
      </c>
      <c r="K121" s="16" t="s">
        <v>3246</v>
      </c>
      <c r="L121" s="16" t="s">
        <v>3234</v>
      </c>
    </row>
    <row r="122" spans="1:12" x14ac:dyDescent="0.35">
      <c r="A122" s="16" t="s">
        <v>599</v>
      </c>
      <c r="B122" s="17">
        <v>45909.694861111115</v>
      </c>
      <c r="C122" s="16" t="s">
        <v>241</v>
      </c>
      <c r="D122" s="16" t="s">
        <v>242</v>
      </c>
      <c r="E122" s="16" t="s">
        <v>600</v>
      </c>
      <c r="F122" s="16" t="s">
        <v>69</v>
      </c>
      <c r="G122" s="16" t="s">
        <v>220</v>
      </c>
      <c r="H122" s="16" t="s">
        <v>221</v>
      </c>
      <c r="I122" s="16" t="s">
        <v>601</v>
      </c>
      <c r="J122" s="16" t="s">
        <v>223</v>
      </c>
      <c r="K122" s="16" t="s">
        <v>3246</v>
      </c>
      <c r="L122" s="16" t="s">
        <v>3234</v>
      </c>
    </row>
    <row r="123" spans="1:12" x14ac:dyDescent="0.35">
      <c r="A123" s="16" t="s">
        <v>602</v>
      </c>
      <c r="B123" s="17">
        <v>45442.122557870367</v>
      </c>
      <c r="C123" s="16" t="s">
        <v>216</v>
      </c>
      <c r="D123" s="16" t="s">
        <v>217</v>
      </c>
      <c r="E123" s="16" t="s">
        <v>603</v>
      </c>
      <c r="F123" s="16" t="s">
        <v>219</v>
      </c>
      <c r="G123" s="16" t="s">
        <v>220</v>
      </c>
      <c r="H123" s="16" t="s">
        <v>232</v>
      </c>
      <c r="I123" s="16" t="s">
        <v>604</v>
      </c>
      <c r="J123" s="16" t="s">
        <v>249</v>
      </c>
      <c r="K123" s="16" t="s">
        <v>3256</v>
      </c>
      <c r="L123" s="16" t="s">
        <v>3231</v>
      </c>
    </row>
    <row r="124" spans="1:12" x14ac:dyDescent="0.35">
      <c r="A124" s="16" t="s">
        <v>605</v>
      </c>
      <c r="B124" s="17">
        <v>45957.577835648146</v>
      </c>
      <c r="C124" s="16" t="s">
        <v>241</v>
      </c>
      <c r="D124" s="16" t="s">
        <v>242</v>
      </c>
      <c r="E124" s="16" t="s">
        <v>606</v>
      </c>
      <c r="F124" s="16" t="s">
        <v>219</v>
      </c>
      <c r="G124" s="16" t="s">
        <v>231</v>
      </c>
      <c r="H124" s="16" t="s">
        <v>273</v>
      </c>
      <c r="I124" s="16" t="s">
        <v>607</v>
      </c>
      <c r="J124" s="16" t="s">
        <v>223</v>
      </c>
      <c r="K124" s="16" t="s">
        <v>3252</v>
      </c>
      <c r="L124" s="16" t="s">
        <v>3232</v>
      </c>
    </row>
    <row r="125" spans="1:12" x14ac:dyDescent="0.35">
      <c r="A125" s="16" t="s">
        <v>608</v>
      </c>
      <c r="B125" s="17">
        <v>45732.652430555558</v>
      </c>
      <c r="C125" s="16" t="s">
        <v>216</v>
      </c>
      <c r="D125" s="16" t="s">
        <v>217</v>
      </c>
      <c r="E125" s="16" t="s">
        <v>609</v>
      </c>
      <c r="F125" s="16" t="s">
        <v>69</v>
      </c>
      <c r="G125" s="16" t="s">
        <v>231</v>
      </c>
      <c r="H125" s="16" t="s">
        <v>221</v>
      </c>
      <c r="I125" s="16" t="s">
        <v>610</v>
      </c>
      <c r="J125" s="16" t="s">
        <v>223</v>
      </c>
      <c r="K125" s="16" t="s">
        <v>3247</v>
      </c>
      <c r="L125" s="16" t="s">
        <v>3234</v>
      </c>
    </row>
    <row r="126" spans="1:12" x14ac:dyDescent="0.35">
      <c r="A126" s="16" t="s">
        <v>611</v>
      </c>
      <c r="B126" s="17">
        <v>46166.474108796298</v>
      </c>
      <c r="C126" s="16" t="s">
        <v>260</v>
      </c>
      <c r="D126" s="16" t="s">
        <v>261</v>
      </c>
      <c r="E126" s="16" t="s">
        <v>612</v>
      </c>
      <c r="F126" s="16" t="s">
        <v>237</v>
      </c>
      <c r="G126" s="16" t="s">
        <v>231</v>
      </c>
      <c r="H126" s="16" t="s">
        <v>221</v>
      </c>
      <c r="I126" s="16" t="s">
        <v>613</v>
      </c>
      <c r="J126" s="16" t="s">
        <v>223</v>
      </c>
      <c r="K126" s="16" t="s">
        <v>3229</v>
      </c>
      <c r="L126" s="16" t="s">
        <v>3230</v>
      </c>
    </row>
    <row r="127" spans="1:12" x14ac:dyDescent="0.35">
      <c r="A127" s="16" t="s">
        <v>614</v>
      </c>
      <c r="B127" s="17">
        <v>45482.655162037037</v>
      </c>
      <c r="C127" s="16" t="s">
        <v>216</v>
      </c>
      <c r="D127" s="16" t="s">
        <v>217</v>
      </c>
      <c r="E127" s="16" t="s">
        <v>615</v>
      </c>
      <c r="F127" s="16" t="s">
        <v>219</v>
      </c>
      <c r="G127" s="16" t="s">
        <v>244</v>
      </c>
      <c r="H127" s="16" t="s">
        <v>221</v>
      </c>
      <c r="I127" s="16" t="s">
        <v>616</v>
      </c>
      <c r="J127" s="16" t="s">
        <v>270</v>
      </c>
      <c r="K127" s="16" t="s">
        <v>3259</v>
      </c>
      <c r="L127" s="16" t="s">
        <v>3235</v>
      </c>
    </row>
    <row r="128" spans="1:12" x14ac:dyDescent="0.35">
      <c r="A128" s="16" t="s">
        <v>617</v>
      </c>
      <c r="B128" s="17">
        <v>45967.185428240744</v>
      </c>
      <c r="C128" s="16" t="s">
        <v>241</v>
      </c>
      <c r="D128" s="16" t="s">
        <v>242</v>
      </c>
      <c r="E128" s="16" t="s">
        <v>618</v>
      </c>
      <c r="F128" s="16" t="s">
        <v>237</v>
      </c>
      <c r="G128" s="16" t="s">
        <v>244</v>
      </c>
      <c r="H128" s="16" t="s">
        <v>273</v>
      </c>
      <c r="I128" s="16" t="s">
        <v>619</v>
      </c>
      <c r="J128" s="16" t="s">
        <v>270</v>
      </c>
      <c r="K128" s="16" t="s">
        <v>3238</v>
      </c>
      <c r="L128" s="16" t="s">
        <v>3230</v>
      </c>
    </row>
    <row r="129" spans="1:12" x14ac:dyDescent="0.35">
      <c r="A129" s="16" t="s">
        <v>620</v>
      </c>
      <c r="B129" s="17">
        <v>46012.157164351855</v>
      </c>
      <c r="C129" s="16" t="s">
        <v>301</v>
      </c>
      <c r="D129" s="16" t="s">
        <v>302</v>
      </c>
      <c r="E129" s="16" t="s">
        <v>621</v>
      </c>
      <c r="F129" s="16" t="s">
        <v>219</v>
      </c>
      <c r="G129" s="16" t="s">
        <v>220</v>
      </c>
      <c r="H129" s="16" t="s">
        <v>273</v>
      </c>
      <c r="I129" s="16" t="s">
        <v>622</v>
      </c>
      <c r="J129" s="16" t="s">
        <v>223</v>
      </c>
      <c r="K129" s="16" t="s">
        <v>3249</v>
      </c>
      <c r="L129" s="16" t="s">
        <v>3232</v>
      </c>
    </row>
    <row r="130" spans="1:12" x14ac:dyDescent="0.35">
      <c r="A130" s="16" t="s">
        <v>623</v>
      </c>
      <c r="B130" s="17">
        <v>46044.17428240741</v>
      </c>
      <c r="C130" s="16" t="s">
        <v>228</v>
      </c>
      <c r="D130" s="16" t="s">
        <v>229</v>
      </c>
      <c r="E130" s="16" t="s">
        <v>624</v>
      </c>
      <c r="F130" s="16" t="s">
        <v>219</v>
      </c>
      <c r="G130" s="16" t="s">
        <v>220</v>
      </c>
      <c r="H130" s="16" t="s">
        <v>221</v>
      </c>
      <c r="I130" s="16" t="s">
        <v>625</v>
      </c>
      <c r="J130" s="16" t="s">
        <v>270</v>
      </c>
      <c r="K130" s="16" t="s">
        <v>3257</v>
      </c>
      <c r="L130" s="16" t="s">
        <v>3234</v>
      </c>
    </row>
    <row r="131" spans="1:12" x14ac:dyDescent="0.35">
      <c r="A131" s="16" t="s">
        <v>626</v>
      </c>
      <c r="B131" s="17">
        <v>45661.414560185185</v>
      </c>
      <c r="C131" s="16" t="s">
        <v>241</v>
      </c>
      <c r="D131" s="16" t="s">
        <v>242</v>
      </c>
      <c r="E131" s="16" t="s">
        <v>627</v>
      </c>
      <c r="F131" s="16" t="s">
        <v>237</v>
      </c>
      <c r="G131" s="16" t="s">
        <v>231</v>
      </c>
      <c r="H131" s="16" t="s">
        <v>238</v>
      </c>
      <c r="I131" s="16" t="s">
        <v>628</v>
      </c>
      <c r="J131" s="16" t="s">
        <v>234</v>
      </c>
      <c r="K131" s="16" t="s">
        <v>3249</v>
      </c>
      <c r="L131" s="16" t="s">
        <v>3232</v>
      </c>
    </row>
    <row r="132" spans="1:12" x14ac:dyDescent="0.35">
      <c r="A132" s="16" t="s">
        <v>629</v>
      </c>
      <c r="B132" s="17">
        <v>45582.960543981484</v>
      </c>
      <c r="C132" s="16" t="s">
        <v>241</v>
      </c>
      <c r="D132" s="16" t="s">
        <v>242</v>
      </c>
      <c r="E132" s="16" t="s">
        <v>630</v>
      </c>
      <c r="F132" s="16" t="s">
        <v>69</v>
      </c>
      <c r="G132" s="16" t="s">
        <v>244</v>
      </c>
      <c r="H132" s="16" t="s">
        <v>232</v>
      </c>
      <c r="I132" s="16" t="s">
        <v>631</v>
      </c>
      <c r="J132" s="16" t="s">
        <v>223</v>
      </c>
      <c r="K132" s="16" t="s">
        <v>3238</v>
      </c>
      <c r="L132" s="16" t="s">
        <v>3230</v>
      </c>
    </row>
    <row r="133" spans="1:12" x14ac:dyDescent="0.35">
      <c r="A133" s="16" t="s">
        <v>632</v>
      </c>
      <c r="B133" s="17">
        <v>45614.561377314814</v>
      </c>
      <c r="C133" s="16" t="s">
        <v>260</v>
      </c>
      <c r="D133" s="16" t="s">
        <v>261</v>
      </c>
      <c r="E133" s="16" t="s">
        <v>633</v>
      </c>
      <c r="F133" s="16" t="s">
        <v>219</v>
      </c>
      <c r="G133" s="16" t="s">
        <v>231</v>
      </c>
      <c r="H133" s="16" t="s">
        <v>232</v>
      </c>
      <c r="I133" s="16" t="s">
        <v>634</v>
      </c>
      <c r="J133" s="16" t="s">
        <v>234</v>
      </c>
      <c r="K133" s="16" t="s">
        <v>3243</v>
      </c>
      <c r="L133" s="16" t="s">
        <v>3234</v>
      </c>
    </row>
    <row r="134" spans="1:12" x14ac:dyDescent="0.35">
      <c r="A134" s="16" t="s">
        <v>635</v>
      </c>
      <c r="B134" s="17">
        <v>45459.412789351853</v>
      </c>
      <c r="C134" s="16" t="s">
        <v>228</v>
      </c>
      <c r="D134" s="16" t="s">
        <v>229</v>
      </c>
      <c r="E134" s="16" t="s">
        <v>636</v>
      </c>
      <c r="F134" s="16" t="s">
        <v>219</v>
      </c>
      <c r="G134" s="16" t="s">
        <v>231</v>
      </c>
      <c r="H134" s="16" t="s">
        <v>273</v>
      </c>
      <c r="I134" s="16" t="s">
        <v>637</v>
      </c>
      <c r="J134" s="16" t="s">
        <v>223</v>
      </c>
      <c r="K134" s="16" t="s">
        <v>3253</v>
      </c>
      <c r="L134" s="16" t="s">
        <v>3234</v>
      </c>
    </row>
    <row r="135" spans="1:12" x14ac:dyDescent="0.35">
      <c r="A135" s="16" t="s">
        <v>638</v>
      </c>
      <c r="B135" s="17">
        <v>46341.172662037039</v>
      </c>
      <c r="C135" s="16" t="s">
        <v>260</v>
      </c>
      <c r="D135" s="16" t="s">
        <v>261</v>
      </c>
      <c r="E135" s="16" t="s">
        <v>639</v>
      </c>
      <c r="F135" s="16" t="s">
        <v>237</v>
      </c>
      <c r="G135" s="16" t="s">
        <v>220</v>
      </c>
      <c r="H135" s="16" t="s">
        <v>238</v>
      </c>
      <c r="I135" s="16" t="s">
        <v>640</v>
      </c>
      <c r="J135" s="16" t="s">
        <v>223</v>
      </c>
      <c r="K135" s="16" t="s">
        <v>3253</v>
      </c>
      <c r="L135" s="16" t="s">
        <v>3234</v>
      </c>
    </row>
    <row r="136" spans="1:12" x14ac:dyDescent="0.35">
      <c r="A136" s="16" t="s">
        <v>641</v>
      </c>
      <c r="B136" s="17">
        <v>45743.599618055552</v>
      </c>
      <c r="C136" s="16" t="s">
        <v>241</v>
      </c>
      <c r="D136" s="16" t="s">
        <v>242</v>
      </c>
      <c r="E136" s="16" t="s">
        <v>642</v>
      </c>
      <c r="F136" s="16" t="s">
        <v>69</v>
      </c>
      <c r="G136" s="16" t="s">
        <v>220</v>
      </c>
      <c r="H136" s="16" t="s">
        <v>238</v>
      </c>
      <c r="I136" s="16" t="s">
        <v>643</v>
      </c>
      <c r="J136" s="16" t="s">
        <v>234</v>
      </c>
      <c r="K136" s="16" t="s">
        <v>3247</v>
      </c>
      <c r="L136" s="16" t="s">
        <v>3234</v>
      </c>
    </row>
    <row r="137" spans="1:12" x14ac:dyDescent="0.35">
      <c r="A137" s="16" t="s">
        <v>644</v>
      </c>
      <c r="B137" s="17">
        <v>45963.182013888887</v>
      </c>
      <c r="C137" s="16" t="s">
        <v>228</v>
      </c>
      <c r="D137" s="16" t="s">
        <v>229</v>
      </c>
      <c r="E137" s="16" t="s">
        <v>645</v>
      </c>
      <c r="F137" s="16" t="s">
        <v>237</v>
      </c>
      <c r="G137" s="16" t="s">
        <v>244</v>
      </c>
      <c r="H137" s="16" t="s">
        <v>238</v>
      </c>
      <c r="I137" s="16" t="s">
        <v>646</v>
      </c>
      <c r="J137" s="16" t="s">
        <v>234</v>
      </c>
      <c r="K137" s="16" t="s">
        <v>3246</v>
      </c>
      <c r="L137" s="16" t="s">
        <v>3234</v>
      </c>
    </row>
    <row r="138" spans="1:12" x14ac:dyDescent="0.35">
      <c r="A138" s="16" t="s">
        <v>647</v>
      </c>
      <c r="B138" s="17">
        <v>46316.847604166665</v>
      </c>
      <c r="C138" s="16" t="s">
        <v>260</v>
      </c>
      <c r="D138" s="16" t="s">
        <v>261</v>
      </c>
      <c r="E138" s="16" t="s">
        <v>648</v>
      </c>
      <c r="F138" s="16" t="s">
        <v>237</v>
      </c>
      <c r="G138" s="16" t="s">
        <v>220</v>
      </c>
      <c r="H138" s="16" t="s">
        <v>273</v>
      </c>
      <c r="I138" s="16" t="s">
        <v>649</v>
      </c>
      <c r="J138" s="16" t="s">
        <v>270</v>
      </c>
      <c r="K138" s="16" t="s">
        <v>3254</v>
      </c>
      <c r="L138" s="16" t="s">
        <v>3232</v>
      </c>
    </row>
    <row r="139" spans="1:12" x14ac:dyDescent="0.35">
      <c r="A139" s="16" t="s">
        <v>650</v>
      </c>
      <c r="B139" s="17">
        <v>45451.474918981483</v>
      </c>
      <c r="C139" s="16" t="s">
        <v>260</v>
      </c>
      <c r="D139" s="16" t="s">
        <v>261</v>
      </c>
      <c r="E139" s="16" t="s">
        <v>651</v>
      </c>
      <c r="F139" s="16" t="s">
        <v>237</v>
      </c>
      <c r="G139" s="16" t="s">
        <v>244</v>
      </c>
      <c r="H139" s="16" t="s">
        <v>221</v>
      </c>
      <c r="I139" s="16" t="s">
        <v>652</v>
      </c>
      <c r="J139" s="16" t="s">
        <v>223</v>
      </c>
      <c r="K139" s="16" t="s">
        <v>3252</v>
      </c>
      <c r="L139" s="16" t="s">
        <v>3232</v>
      </c>
    </row>
    <row r="140" spans="1:12" x14ac:dyDescent="0.35">
      <c r="A140" s="16" t="s">
        <v>653</v>
      </c>
      <c r="B140" s="17">
        <v>45334.492685185185</v>
      </c>
      <c r="C140" s="16" t="s">
        <v>301</v>
      </c>
      <c r="D140" s="16" t="s">
        <v>302</v>
      </c>
      <c r="E140" s="16" t="s">
        <v>654</v>
      </c>
      <c r="F140" s="16" t="s">
        <v>219</v>
      </c>
      <c r="G140" s="16" t="s">
        <v>231</v>
      </c>
      <c r="H140" s="16" t="s">
        <v>221</v>
      </c>
      <c r="I140" s="16" t="s">
        <v>655</v>
      </c>
      <c r="J140" s="16" t="s">
        <v>223</v>
      </c>
      <c r="K140" s="16" t="s">
        <v>3244</v>
      </c>
      <c r="L140" s="16" t="s">
        <v>3235</v>
      </c>
    </row>
    <row r="141" spans="1:12" x14ac:dyDescent="0.35">
      <c r="A141" s="16" t="s">
        <v>656</v>
      </c>
      <c r="B141" s="17">
        <v>46112.794861111113</v>
      </c>
      <c r="C141" s="16" t="s">
        <v>216</v>
      </c>
      <c r="D141" s="16" t="s">
        <v>217</v>
      </c>
      <c r="E141" s="16" t="s">
        <v>657</v>
      </c>
      <c r="F141" s="16" t="s">
        <v>237</v>
      </c>
      <c r="G141" s="16" t="s">
        <v>231</v>
      </c>
      <c r="H141" s="16" t="s">
        <v>277</v>
      </c>
      <c r="I141" s="16" t="s">
        <v>658</v>
      </c>
      <c r="J141" s="16" t="s">
        <v>249</v>
      </c>
      <c r="K141" s="16" t="s">
        <v>3237</v>
      </c>
      <c r="L141" s="16" t="s">
        <v>3230</v>
      </c>
    </row>
    <row r="142" spans="1:12" x14ac:dyDescent="0.35">
      <c r="A142" s="16" t="s">
        <v>659</v>
      </c>
      <c r="B142" s="17">
        <v>45525.804942129631</v>
      </c>
      <c r="C142" s="16" t="s">
        <v>228</v>
      </c>
      <c r="D142" s="16" t="s">
        <v>229</v>
      </c>
      <c r="E142" s="16" t="s">
        <v>660</v>
      </c>
      <c r="F142" s="16" t="s">
        <v>69</v>
      </c>
      <c r="G142" s="16" t="s">
        <v>231</v>
      </c>
      <c r="H142" s="16" t="s">
        <v>221</v>
      </c>
      <c r="I142" s="16" t="s">
        <v>661</v>
      </c>
      <c r="J142" s="16" t="s">
        <v>234</v>
      </c>
      <c r="K142" s="16" t="s">
        <v>3229</v>
      </c>
      <c r="L142" s="16" t="s">
        <v>3230</v>
      </c>
    </row>
    <row r="143" spans="1:12" x14ac:dyDescent="0.35">
      <c r="A143" s="16" t="s">
        <v>662</v>
      </c>
      <c r="B143" s="17">
        <v>45816.299259259256</v>
      </c>
      <c r="C143" s="16" t="s">
        <v>228</v>
      </c>
      <c r="D143" s="16" t="s">
        <v>229</v>
      </c>
      <c r="E143" s="16" t="s">
        <v>663</v>
      </c>
      <c r="F143" s="16" t="s">
        <v>219</v>
      </c>
      <c r="G143" s="16" t="s">
        <v>220</v>
      </c>
      <c r="H143" s="16" t="s">
        <v>221</v>
      </c>
      <c r="I143" s="16" t="s">
        <v>664</v>
      </c>
      <c r="J143" s="16" t="s">
        <v>223</v>
      </c>
      <c r="K143" s="16" t="s">
        <v>3239</v>
      </c>
      <c r="L143" s="16" t="s">
        <v>3235</v>
      </c>
    </row>
    <row r="144" spans="1:12" x14ac:dyDescent="0.35">
      <c r="A144" s="16" t="s">
        <v>665</v>
      </c>
      <c r="B144" s="17">
        <v>46211.856354166666</v>
      </c>
      <c r="C144" s="16" t="s">
        <v>260</v>
      </c>
      <c r="D144" s="16" t="s">
        <v>261</v>
      </c>
      <c r="E144" s="16" t="s">
        <v>666</v>
      </c>
      <c r="F144" s="16" t="s">
        <v>219</v>
      </c>
      <c r="G144" s="16" t="s">
        <v>244</v>
      </c>
      <c r="H144" s="16" t="s">
        <v>273</v>
      </c>
      <c r="I144" s="16" t="s">
        <v>667</v>
      </c>
      <c r="J144" s="16" t="s">
        <v>249</v>
      </c>
      <c r="K144" s="16" t="s">
        <v>3244</v>
      </c>
      <c r="L144" s="16" t="s">
        <v>3235</v>
      </c>
    </row>
    <row r="145" spans="1:12" x14ac:dyDescent="0.35">
      <c r="A145" s="16" t="s">
        <v>668</v>
      </c>
      <c r="B145" s="17">
        <v>46252.670844907407</v>
      </c>
      <c r="C145" s="16" t="s">
        <v>228</v>
      </c>
      <c r="D145" s="16" t="s">
        <v>229</v>
      </c>
      <c r="E145" s="16" t="s">
        <v>669</v>
      </c>
      <c r="F145" s="16" t="s">
        <v>237</v>
      </c>
      <c r="G145" s="16" t="s">
        <v>231</v>
      </c>
      <c r="H145" s="16" t="s">
        <v>232</v>
      </c>
      <c r="I145" s="16" t="s">
        <v>670</v>
      </c>
      <c r="J145" s="16" t="s">
        <v>270</v>
      </c>
      <c r="K145" s="16" t="s">
        <v>3252</v>
      </c>
      <c r="L145" s="16" t="s">
        <v>3232</v>
      </c>
    </row>
    <row r="146" spans="1:12" x14ac:dyDescent="0.35">
      <c r="A146" s="16" t="s">
        <v>671</v>
      </c>
      <c r="B146" s="17">
        <v>45369.086296296293</v>
      </c>
      <c r="C146" s="16" t="s">
        <v>301</v>
      </c>
      <c r="D146" s="16" t="s">
        <v>302</v>
      </c>
      <c r="E146" s="16" t="s">
        <v>672</v>
      </c>
      <c r="F146" s="16" t="s">
        <v>237</v>
      </c>
      <c r="G146" s="16" t="s">
        <v>220</v>
      </c>
      <c r="H146" s="16" t="s">
        <v>232</v>
      </c>
      <c r="I146" s="16" t="s">
        <v>673</v>
      </c>
      <c r="J146" s="16" t="s">
        <v>223</v>
      </c>
      <c r="K146" s="16" t="s">
        <v>3259</v>
      </c>
      <c r="L146" s="16" t="s">
        <v>3235</v>
      </c>
    </row>
    <row r="147" spans="1:12" x14ac:dyDescent="0.35">
      <c r="A147" s="16" t="s">
        <v>674</v>
      </c>
      <c r="B147" s="17">
        <v>45376.682256944441</v>
      </c>
      <c r="C147" s="16" t="s">
        <v>260</v>
      </c>
      <c r="D147" s="16" t="s">
        <v>261</v>
      </c>
      <c r="E147" s="16" t="s">
        <v>675</v>
      </c>
      <c r="F147" s="16" t="s">
        <v>219</v>
      </c>
      <c r="G147" s="16" t="s">
        <v>220</v>
      </c>
      <c r="H147" s="16" t="s">
        <v>273</v>
      </c>
      <c r="I147" s="16" t="s">
        <v>676</v>
      </c>
      <c r="J147" s="16" t="s">
        <v>223</v>
      </c>
      <c r="K147" s="16" t="s">
        <v>3252</v>
      </c>
      <c r="L147" s="16" t="s">
        <v>3232</v>
      </c>
    </row>
    <row r="148" spans="1:12" x14ac:dyDescent="0.35">
      <c r="A148" s="16" t="s">
        <v>677</v>
      </c>
      <c r="B148" s="17">
        <v>46214.157013888886</v>
      </c>
      <c r="C148" s="16" t="s">
        <v>241</v>
      </c>
      <c r="D148" s="16" t="s">
        <v>242</v>
      </c>
      <c r="E148" s="16" t="s">
        <v>678</v>
      </c>
      <c r="F148" s="16" t="s">
        <v>219</v>
      </c>
      <c r="G148" s="16" t="s">
        <v>220</v>
      </c>
      <c r="H148" s="16" t="s">
        <v>277</v>
      </c>
      <c r="I148" s="16" t="s">
        <v>679</v>
      </c>
      <c r="J148" s="16" t="s">
        <v>234</v>
      </c>
      <c r="K148" s="16" t="s">
        <v>3259</v>
      </c>
      <c r="L148" s="16" t="s">
        <v>3235</v>
      </c>
    </row>
    <row r="149" spans="1:12" x14ac:dyDescent="0.35">
      <c r="A149" s="16" t="s">
        <v>680</v>
      </c>
      <c r="B149" s="17">
        <v>46191.795023148145</v>
      </c>
      <c r="C149" s="16" t="s">
        <v>216</v>
      </c>
      <c r="D149" s="16" t="s">
        <v>217</v>
      </c>
      <c r="E149" s="16" t="s">
        <v>681</v>
      </c>
      <c r="F149" s="16" t="s">
        <v>219</v>
      </c>
      <c r="G149" s="16" t="s">
        <v>220</v>
      </c>
      <c r="H149" s="16" t="s">
        <v>277</v>
      </c>
      <c r="I149" s="16" t="s">
        <v>682</v>
      </c>
      <c r="J149" s="16" t="s">
        <v>249</v>
      </c>
      <c r="K149" s="16" t="s">
        <v>3249</v>
      </c>
      <c r="L149" s="16" t="s">
        <v>3232</v>
      </c>
    </row>
    <row r="150" spans="1:12" x14ac:dyDescent="0.35">
      <c r="A150" s="16" t="s">
        <v>683</v>
      </c>
      <c r="B150" s="17">
        <v>45399.957071759258</v>
      </c>
      <c r="C150" s="16" t="s">
        <v>260</v>
      </c>
      <c r="D150" s="16" t="s">
        <v>261</v>
      </c>
      <c r="E150" s="16" t="s">
        <v>684</v>
      </c>
      <c r="F150" s="16" t="s">
        <v>237</v>
      </c>
      <c r="G150" s="16" t="s">
        <v>220</v>
      </c>
      <c r="H150" s="16" t="s">
        <v>232</v>
      </c>
      <c r="I150" s="16" t="s">
        <v>685</v>
      </c>
      <c r="J150" s="16" t="s">
        <v>223</v>
      </c>
      <c r="K150" s="16" t="s">
        <v>3233</v>
      </c>
      <c r="L150" s="16" t="s">
        <v>3230</v>
      </c>
    </row>
    <row r="151" spans="1:12" x14ac:dyDescent="0.35">
      <c r="A151" s="16" t="s">
        <v>686</v>
      </c>
      <c r="B151" s="17">
        <v>45599.50571759259</v>
      </c>
      <c r="C151" s="16" t="s">
        <v>301</v>
      </c>
      <c r="D151" s="16" t="s">
        <v>302</v>
      </c>
      <c r="E151" s="16" t="s">
        <v>687</v>
      </c>
      <c r="F151" s="16" t="s">
        <v>219</v>
      </c>
      <c r="G151" s="16" t="s">
        <v>244</v>
      </c>
      <c r="H151" s="16" t="s">
        <v>238</v>
      </c>
      <c r="I151" s="16" t="s">
        <v>688</v>
      </c>
      <c r="J151" s="16" t="s">
        <v>249</v>
      </c>
      <c r="K151" s="16" t="s">
        <v>3245</v>
      </c>
      <c r="L151" s="16" t="s">
        <v>3232</v>
      </c>
    </row>
    <row r="152" spans="1:12" x14ac:dyDescent="0.35">
      <c r="A152" s="16" t="s">
        <v>689</v>
      </c>
      <c r="B152" s="17">
        <v>45465.469641203701</v>
      </c>
      <c r="C152" s="16" t="s">
        <v>260</v>
      </c>
      <c r="D152" s="16" t="s">
        <v>261</v>
      </c>
      <c r="E152" s="16" t="s">
        <v>690</v>
      </c>
      <c r="F152" s="16" t="s">
        <v>237</v>
      </c>
      <c r="G152" s="16" t="s">
        <v>244</v>
      </c>
      <c r="H152" s="16" t="s">
        <v>277</v>
      </c>
      <c r="I152" s="16" t="s">
        <v>691</v>
      </c>
      <c r="J152" s="16" t="s">
        <v>270</v>
      </c>
      <c r="K152" s="16" t="s">
        <v>3259</v>
      </c>
      <c r="L152" s="16" t="s">
        <v>3235</v>
      </c>
    </row>
    <row r="153" spans="1:12" x14ac:dyDescent="0.35">
      <c r="A153" s="16" t="s">
        <v>692</v>
      </c>
      <c r="B153" s="17">
        <v>45329.550069444442</v>
      </c>
      <c r="C153" s="16" t="s">
        <v>260</v>
      </c>
      <c r="D153" s="16" t="s">
        <v>261</v>
      </c>
      <c r="E153" s="16" t="s">
        <v>693</v>
      </c>
      <c r="F153" s="16" t="s">
        <v>69</v>
      </c>
      <c r="G153" s="16" t="s">
        <v>220</v>
      </c>
      <c r="H153" s="16" t="s">
        <v>273</v>
      </c>
      <c r="I153" s="16" t="s">
        <v>694</v>
      </c>
      <c r="J153" s="16" t="s">
        <v>234</v>
      </c>
      <c r="K153" s="16" t="s">
        <v>3259</v>
      </c>
      <c r="L153" s="16" t="s">
        <v>3235</v>
      </c>
    </row>
    <row r="154" spans="1:12" x14ac:dyDescent="0.35">
      <c r="A154" s="16" t="s">
        <v>695</v>
      </c>
      <c r="B154" s="17">
        <v>45450.44872685185</v>
      </c>
      <c r="C154" s="16" t="s">
        <v>228</v>
      </c>
      <c r="D154" s="16" t="s">
        <v>229</v>
      </c>
      <c r="E154" s="16" t="s">
        <v>696</v>
      </c>
      <c r="F154" s="16" t="s">
        <v>219</v>
      </c>
      <c r="G154" s="16" t="s">
        <v>244</v>
      </c>
      <c r="H154" s="16" t="s">
        <v>277</v>
      </c>
      <c r="I154" s="16" t="s">
        <v>697</v>
      </c>
      <c r="J154" s="16" t="s">
        <v>249</v>
      </c>
      <c r="K154" s="16" t="s">
        <v>3247</v>
      </c>
      <c r="L154" s="16" t="s">
        <v>3234</v>
      </c>
    </row>
    <row r="155" spans="1:12" x14ac:dyDescent="0.35">
      <c r="A155" s="16" t="s">
        <v>698</v>
      </c>
      <c r="B155" s="17">
        <v>46063.23400462963</v>
      </c>
      <c r="C155" s="16" t="s">
        <v>241</v>
      </c>
      <c r="D155" s="16" t="s">
        <v>242</v>
      </c>
      <c r="E155" s="16" t="s">
        <v>699</v>
      </c>
      <c r="F155" s="16" t="s">
        <v>69</v>
      </c>
      <c r="G155" s="16" t="s">
        <v>244</v>
      </c>
      <c r="H155" s="16" t="s">
        <v>277</v>
      </c>
      <c r="I155" s="16" t="s">
        <v>700</v>
      </c>
      <c r="J155" s="16" t="s">
        <v>223</v>
      </c>
      <c r="K155" s="16" t="s">
        <v>3244</v>
      </c>
      <c r="L155" s="16" t="s">
        <v>3235</v>
      </c>
    </row>
    <row r="156" spans="1:12" x14ac:dyDescent="0.35">
      <c r="A156" s="16" t="s">
        <v>701</v>
      </c>
      <c r="B156" s="17">
        <v>45778.67386574074</v>
      </c>
      <c r="C156" s="16" t="s">
        <v>216</v>
      </c>
      <c r="D156" s="16" t="s">
        <v>217</v>
      </c>
      <c r="E156" s="16" t="s">
        <v>702</v>
      </c>
      <c r="F156" s="16" t="s">
        <v>237</v>
      </c>
      <c r="G156" s="16" t="s">
        <v>244</v>
      </c>
      <c r="H156" s="16" t="s">
        <v>232</v>
      </c>
      <c r="I156" s="16" t="s">
        <v>703</v>
      </c>
      <c r="J156" s="16" t="s">
        <v>234</v>
      </c>
      <c r="K156" s="16" t="s">
        <v>3250</v>
      </c>
      <c r="L156" s="16" t="s">
        <v>3231</v>
      </c>
    </row>
    <row r="157" spans="1:12" x14ac:dyDescent="0.35">
      <c r="A157" s="16" t="s">
        <v>704</v>
      </c>
      <c r="B157" s="17">
        <v>46045.865347222221</v>
      </c>
      <c r="C157" s="16" t="s">
        <v>301</v>
      </c>
      <c r="D157" s="16" t="s">
        <v>302</v>
      </c>
      <c r="E157" s="16" t="s">
        <v>705</v>
      </c>
      <c r="F157" s="16" t="s">
        <v>237</v>
      </c>
      <c r="G157" s="16" t="s">
        <v>231</v>
      </c>
      <c r="H157" s="16" t="s">
        <v>232</v>
      </c>
      <c r="I157" s="16" t="s">
        <v>706</v>
      </c>
      <c r="J157" s="16" t="s">
        <v>223</v>
      </c>
      <c r="K157" s="16" t="s">
        <v>3254</v>
      </c>
      <c r="L157" s="16" t="s">
        <v>3232</v>
      </c>
    </row>
    <row r="158" spans="1:12" x14ac:dyDescent="0.35">
      <c r="A158" s="16" t="s">
        <v>707</v>
      </c>
      <c r="B158" s="17">
        <v>45575.379259259258</v>
      </c>
      <c r="C158" s="16" t="s">
        <v>228</v>
      </c>
      <c r="D158" s="16" t="s">
        <v>229</v>
      </c>
      <c r="E158" s="16" t="s">
        <v>708</v>
      </c>
      <c r="F158" s="16" t="s">
        <v>219</v>
      </c>
      <c r="G158" s="16" t="s">
        <v>231</v>
      </c>
      <c r="H158" s="16" t="s">
        <v>277</v>
      </c>
      <c r="I158" s="16" t="s">
        <v>709</v>
      </c>
      <c r="J158" s="16" t="s">
        <v>270</v>
      </c>
      <c r="K158" s="16" t="s">
        <v>3254</v>
      </c>
      <c r="L158" s="16" t="s">
        <v>3232</v>
      </c>
    </row>
    <row r="159" spans="1:12" x14ac:dyDescent="0.35">
      <c r="A159" s="16" t="s">
        <v>710</v>
      </c>
      <c r="B159" s="17">
        <v>45463.243194444447</v>
      </c>
      <c r="C159" s="16" t="s">
        <v>241</v>
      </c>
      <c r="D159" s="16" t="s">
        <v>242</v>
      </c>
      <c r="E159" s="16" t="s">
        <v>711</v>
      </c>
      <c r="F159" s="16" t="s">
        <v>237</v>
      </c>
      <c r="G159" s="16" t="s">
        <v>244</v>
      </c>
      <c r="H159" s="16" t="s">
        <v>221</v>
      </c>
      <c r="I159" s="16" t="s">
        <v>712</v>
      </c>
      <c r="J159" s="16" t="s">
        <v>270</v>
      </c>
      <c r="K159" s="16" t="s">
        <v>3246</v>
      </c>
      <c r="L159" s="16" t="s">
        <v>3234</v>
      </c>
    </row>
    <row r="160" spans="1:12" x14ac:dyDescent="0.35">
      <c r="A160" s="16" t="s">
        <v>713</v>
      </c>
      <c r="B160" s="17">
        <v>45346.62940972222</v>
      </c>
      <c r="C160" s="16" t="s">
        <v>228</v>
      </c>
      <c r="D160" s="16" t="s">
        <v>229</v>
      </c>
      <c r="E160" s="16" t="s">
        <v>714</v>
      </c>
      <c r="F160" s="16" t="s">
        <v>237</v>
      </c>
      <c r="G160" s="16" t="s">
        <v>244</v>
      </c>
      <c r="H160" s="16" t="s">
        <v>232</v>
      </c>
      <c r="I160" s="16" t="s">
        <v>715</v>
      </c>
      <c r="J160" s="16" t="s">
        <v>223</v>
      </c>
      <c r="K160" s="16" t="s">
        <v>3256</v>
      </c>
      <c r="L160" s="16" t="s">
        <v>3231</v>
      </c>
    </row>
    <row r="161" spans="1:12" x14ac:dyDescent="0.35">
      <c r="A161" s="16" t="s">
        <v>716</v>
      </c>
      <c r="B161" s="17">
        <v>45349.483449074076</v>
      </c>
      <c r="C161" s="16" t="s">
        <v>216</v>
      </c>
      <c r="D161" s="16" t="s">
        <v>217</v>
      </c>
      <c r="E161" s="16" t="s">
        <v>717</v>
      </c>
      <c r="F161" s="16" t="s">
        <v>219</v>
      </c>
      <c r="G161" s="16" t="s">
        <v>244</v>
      </c>
      <c r="H161" s="16" t="s">
        <v>238</v>
      </c>
      <c r="I161" s="16" t="s">
        <v>718</v>
      </c>
      <c r="J161" s="16" t="s">
        <v>234</v>
      </c>
      <c r="K161" s="16" t="s">
        <v>3248</v>
      </c>
      <c r="L161" s="16" t="s">
        <v>3231</v>
      </c>
    </row>
    <row r="162" spans="1:12" x14ac:dyDescent="0.35">
      <c r="A162" s="16" t="s">
        <v>719</v>
      </c>
      <c r="B162" s="17">
        <v>45576.711655092593</v>
      </c>
      <c r="C162" s="16" t="s">
        <v>216</v>
      </c>
      <c r="D162" s="16" t="s">
        <v>217</v>
      </c>
      <c r="E162" s="16" t="s">
        <v>720</v>
      </c>
      <c r="F162" s="16" t="s">
        <v>219</v>
      </c>
      <c r="G162" s="16" t="s">
        <v>220</v>
      </c>
      <c r="H162" s="16" t="s">
        <v>238</v>
      </c>
      <c r="I162" s="16" t="s">
        <v>721</v>
      </c>
      <c r="J162" s="16" t="s">
        <v>249</v>
      </c>
      <c r="K162" s="16" t="s">
        <v>3236</v>
      </c>
      <c r="L162" s="16" t="s">
        <v>3230</v>
      </c>
    </row>
    <row r="163" spans="1:12" x14ac:dyDescent="0.35">
      <c r="A163" s="16" t="s">
        <v>722</v>
      </c>
      <c r="B163" s="17">
        <v>46372.642083333332</v>
      </c>
      <c r="C163" s="16" t="s">
        <v>228</v>
      </c>
      <c r="D163" s="16" t="s">
        <v>229</v>
      </c>
      <c r="E163" s="16" t="s">
        <v>723</v>
      </c>
      <c r="F163" s="16" t="s">
        <v>237</v>
      </c>
      <c r="G163" s="16" t="s">
        <v>220</v>
      </c>
      <c r="H163" s="16" t="s">
        <v>277</v>
      </c>
      <c r="I163" s="16" t="s">
        <v>724</v>
      </c>
      <c r="J163" s="16" t="s">
        <v>270</v>
      </c>
      <c r="K163" s="16" t="s">
        <v>3244</v>
      </c>
      <c r="L163" s="16" t="s">
        <v>3235</v>
      </c>
    </row>
    <row r="164" spans="1:12" x14ac:dyDescent="0.35">
      <c r="A164" s="16" t="s">
        <v>725</v>
      </c>
      <c r="B164" s="17">
        <v>46228.095277777778</v>
      </c>
      <c r="C164" s="16" t="s">
        <v>228</v>
      </c>
      <c r="D164" s="16" t="s">
        <v>229</v>
      </c>
      <c r="E164" s="16" t="s">
        <v>726</v>
      </c>
      <c r="F164" s="16" t="s">
        <v>237</v>
      </c>
      <c r="G164" s="16" t="s">
        <v>244</v>
      </c>
      <c r="H164" s="16" t="s">
        <v>232</v>
      </c>
      <c r="I164" s="16" t="s">
        <v>727</v>
      </c>
      <c r="J164" s="16" t="s">
        <v>234</v>
      </c>
      <c r="K164" s="16" t="s">
        <v>3229</v>
      </c>
      <c r="L164" s="16" t="s">
        <v>3230</v>
      </c>
    </row>
    <row r="165" spans="1:12" x14ac:dyDescent="0.35">
      <c r="A165" s="16" t="s">
        <v>728</v>
      </c>
      <c r="B165" s="17">
        <v>45295.932685185187</v>
      </c>
      <c r="C165" s="16" t="s">
        <v>228</v>
      </c>
      <c r="D165" s="16" t="s">
        <v>229</v>
      </c>
      <c r="E165" s="16" t="s">
        <v>729</v>
      </c>
      <c r="F165" s="16" t="s">
        <v>69</v>
      </c>
      <c r="G165" s="16" t="s">
        <v>244</v>
      </c>
      <c r="H165" s="16" t="s">
        <v>238</v>
      </c>
      <c r="I165" s="16" t="s">
        <v>730</v>
      </c>
      <c r="J165" s="16" t="s">
        <v>270</v>
      </c>
      <c r="K165" s="16" t="s">
        <v>3255</v>
      </c>
      <c r="L165" s="16" t="s">
        <v>3235</v>
      </c>
    </row>
    <row r="166" spans="1:12" x14ac:dyDescent="0.35">
      <c r="A166" s="16" t="s">
        <v>731</v>
      </c>
      <c r="B166" s="17">
        <v>46369.825381944444</v>
      </c>
      <c r="C166" s="16" t="s">
        <v>241</v>
      </c>
      <c r="D166" s="16" t="s">
        <v>242</v>
      </c>
      <c r="E166" s="16" t="s">
        <v>732</v>
      </c>
      <c r="F166" s="16" t="s">
        <v>219</v>
      </c>
      <c r="G166" s="16" t="s">
        <v>244</v>
      </c>
      <c r="H166" s="16" t="s">
        <v>238</v>
      </c>
      <c r="I166" s="16" t="s">
        <v>733</v>
      </c>
      <c r="J166" s="16" t="s">
        <v>223</v>
      </c>
      <c r="K166" s="16" t="s">
        <v>3258</v>
      </c>
      <c r="L166" s="16" t="s">
        <v>3235</v>
      </c>
    </row>
    <row r="167" spans="1:12" x14ac:dyDescent="0.35">
      <c r="A167" s="16" t="s">
        <v>734</v>
      </c>
      <c r="B167" s="17">
        <v>45811.024629629632</v>
      </c>
      <c r="C167" s="16" t="s">
        <v>216</v>
      </c>
      <c r="D167" s="16" t="s">
        <v>217</v>
      </c>
      <c r="E167" s="16" t="s">
        <v>735</v>
      </c>
      <c r="F167" s="16" t="s">
        <v>69</v>
      </c>
      <c r="G167" s="16" t="s">
        <v>231</v>
      </c>
      <c r="H167" s="16" t="s">
        <v>232</v>
      </c>
      <c r="I167" s="16" t="s">
        <v>736</v>
      </c>
      <c r="J167" s="16" t="s">
        <v>270</v>
      </c>
      <c r="K167" s="16" t="s">
        <v>3254</v>
      </c>
      <c r="L167" s="16" t="s">
        <v>3232</v>
      </c>
    </row>
    <row r="168" spans="1:12" x14ac:dyDescent="0.35">
      <c r="A168" s="16" t="s">
        <v>737</v>
      </c>
      <c r="B168" s="17">
        <v>45382.534444444442</v>
      </c>
      <c r="C168" s="16" t="s">
        <v>241</v>
      </c>
      <c r="D168" s="16" t="s">
        <v>242</v>
      </c>
      <c r="E168" s="16" t="s">
        <v>738</v>
      </c>
      <c r="F168" s="16" t="s">
        <v>237</v>
      </c>
      <c r="G168" s="16" t="s">
        <v>244</v>
      </c>
      <c r="H168" s="16" t="s">
        <v>238</v>
      </c>
      <c r="I168" s="16" t="s">
        <v>739</v>
      </c>
      <c r="J168" s="16" t="s">
        <v>223</v>
      </c>
      <c r="K168" s="16" t="s">
        <v>3238</v>
      </c>
      <c r="L168" s="16" t="s">
        <v>3230</v>
      </c>
    </row>
    <row r="169" spans="1:12" x14ac:dyDescent="0.35">
      <c r="A169" s="16" t="s">
        <v>740</v>
      </c>
      <c r="B169" s="17">
        <v>45421.694305555553</v>
      </c>
      <c r="C169" s="16" t="s">
        <v>260</v>
      </c>
      <c r="D169" s="16" t="s">
        <v>261</v>
      </c>
      <c r="E169" s="16" t="s">
        <v>741</v>
      </c>
      <c r="F169" s="16" t="s">
        <v>237</v>
      </c>
      <c r="G169" s="16" t="s">
        <v>220</v>
      </c>
      <c r="H169" s="16" t="s">
        <v>277</v>
      </c>
      <c r="I169" s="16" t="s">
        <v>742</v>
      </c>
      <c r="J169" s="16" t="s">
        <v>270</v>
      </c>
      <c r="K169" s="16" t="s">
        <v>3250</v>
      </c>
      <c r="L169" s="16" t="s">
        <v>3231</v>
      </c>
    </row>
    <row r="170" spans="1:12" x14ac:dyDescent="0.35">
      <c r="A170" s="16" t="s">
        <v>743</v>
      </c>
      <c r="B170" s="17">
        <v>46107.823796296296</v>
      </c>
      <c r="C170" s="16" t="s">
        <v>301</v>
      </c>
      <c r="D170" s="16" t="s">
        <v>302</v>
      </c>
      <c r="E170" s="16" t="s">
        <v>744</v>
      </c>
      <c r="F170" s="16" t="s">
        <v>237</v>
      </c>
      <c r="G170" s="16" t="s">
        <v>220</v>
      </c>
      <c r="H170" s="16" t="s">
        <v>238</v>
      </c>
      <c r="I170" s="16" t="s">
        <v>745</v>
      </c>
      <c r="J170" s="16" t="s">
        <v>249</v>
      </c>
      <c r="K170" s="16" t="s">
        <v>3249</v>
      </c>
      <c r="L170" s="16" t="s">
        <v>3232</v>
      </c>
    </row>
    <row r="171" spans="1:12" x14ac:dyDescent="0.35">
      <c r="A171" s="16" t="s">
        <v>746</v>
      </c>
      <c r="B171" s="17">
        <v>45546.558298611111</v>
      </c>
      <c r="C171" s="16" t="s">
        <v>216</v>
      </c>
      <c r="D171" s="16" t="s">
        <v>217</v>
      </c>
      <c r="E171" s="16" t="s">
        <v>747</v>
      </c>
      <c r="F171" s="16" t="s">
        <v>237</v>
      </c>
      <c r="G171" s="16" t="s">
        <v>244</v>
      </c>
      <c r="H171" s="16" t="s">
        <v>238</v>
      </c>
      <c r="I171" s="16" t="s">
        <v>748</v>
      </c>
      <c r="J171" s="16" t="s">
        <v>249</v>
      </c>
      <c r="K171" s="16" t="s">
        <v>3258</v>
      </c>
      <c r="L171" s="16" t="s">
        <v>3235</v>
      </c>
    </row>
    <row r="172" spans="1:12" x14ac:dyDescent="0.35">
      <c r="A172" s="16" t="s">
        <v>749</v>
      </c>
      <c r="B172" s="17">
        <v>46044.787754629629</v>
      </c>
      <c r="C172" s="16" t="s">
        <v>228</v>
      </c>
      <c r="D172" s="16" t="s">
        <v>229</v>
      </c>
      <c r="E172" s="16" t="s">
        <v>750</v>
      </c>
      <c r="F172" s="16" t="s">
        <v>69</v>
      </c>
      <c r="G172" s="16" t="s">
        <v>244</v>
      </c>
      <c r="H172" s="16" t="s">
        <v>232</v>
      </c>
      <c r="I172" s="16" t="s">
        <v>751</v>
      </c>
      <c r="J172" s="16" t="s">
        <v>223</v>
      </c>
      <c r="K172" s="16" t="s">
        <v>3244</v>
      </c>
      <c r="L172" s="16" t="s">
        <v>3235</v>
      </c>
    </row>
    <row r="173" spans="1:12" x14ac:dyDescent="0.35">
      <c r="A173" s="16" t="s">
        <v>752</v>
      </c>
      <c r="B173" s="17">
        <v>45893.487280092595</v>
      </c>
      <c r="C173" s="16" t="s">
        <v>241</v>
      </c>
      <c r="D173" s="16" t="s">
        <v>242</v>
      </c>
      <c r="E173" s="16" t="s">
        <v>753</v>
      </c>
      <c r="F173" s="16" t="s">
        <v>69</v>
      </c>
      <c r="G173" s="16" t="s">
        <v>231</v>
      </c>
      <c r="H173" s="16" t="s">
        <v>277</v>
      </c>
      <c r="I173" s="16" t="s">
        <v>754</v>
      </c>
      <c r="J173" s="16" t="s">
        <v>223</v>
      </c>
      <c r="K173" s="16" t="s">
        <v>3233</v>
      </c>
      <c r="L173" s="16" t="s">
        <v>3230</v>
      </c>
    </row>
    <row r="174" spans="1:12" x14ac:dyDescent="0.35">
      <c r="A174" s="16" t="s">
        <v>755</v>
      </c>
      <c r="B174" s="17">
        <v>46201.53329861111</v>
      </c>
      <c r="C174" s="16" t="s">
        <v>241</v>
      </c>
      <c r="D174" s="16" t="s">
        <v>242</v>
      </c>
      <c r="E174" s="16" t="s">
        <v>756</v>
      </c>
      <c r="F174" s="16" t="s">
        <v>69</v>
      </c>
      <c r="G174" s="16" t="s">
        <v>244</v>
      </c>
      <c r="H174" s="16" t="s">
        <v>232</v>
      </c>
      <c r="I174" s="16" t="s">
        <v>757</v>
      </c>
      <c r="J174" s="16" t="s">
        <v>223</v>
      </c>
      <c r="K174" s="16" t="s">
        <v>3248</v>
      </c>
      <c r="L174" s="16" t="s">
        <v>3231</v>
      </c>
    </row>
    <row r="175" spans="1:12" x14ac:dyDescent="0.35">
      <c r="A175" s="16" t="s">
        <v>758</v>
      </c>
      <c r="B175" s="17">
        <v>46123.551145833335</v>
      </c>
      <c r="C175" s="16" t="s">
        <v>301</v>
      </c>
      <c r="D175" s="16" t="s">
        <v>302</v>
      </c>
      <c r="E175" s="16" t="s">
        <v>759</v>
      </c>
      <c r="F175" s="16" t="s">
        <v>219</v>
      </c>
      <c r="G175" s="16" t="s">
        <v>244</v>
      </c>
      <c r="H175" s="16" t="s">
        <v>221</v>
      </c>
      <c r="I175" s="16" t="s">
        <v>760</v>
      </c>
      <c r="J175" s="16" t="s">
        <v>234</v>
      </c>
      <c r="K175" s="16" t="s">
        <v>3254</v>
      </c>
      <c r="L175" s="16" t="s">
        <v>3232</v>
      </c>
    </row>
    <row r="176" spans="1:12" x14ac:dyDescent="0.35">
      <c r="A176" s="16" t="s">
        <v>761</v>
      </c>
      <c r="B176" s="17">
        <v>45550.101990740739</v>
      </c>
      <c r="C176" s="16" t="s">
        <v>241</v>
      </c>
      <c r="D176" s="16" t="s">
        <v>242</v>
      </c>
      <c r="E176" s="16" t="s">
        <v>762</v>
      </c>
      <c r="F176" s="16" t="s">
        <v>219</v>
      </c>
      <c r="G176" s="16" t="s">
        <v>231</v>
      </c>
      <c r="H176" s="16" t="s">
        <v>232</v>
      </c>
      <c r="I176" s="16" t="s">
        <v>763</v>
      </c>
      <c r="J176" s="16" t="s">
        <v>270</v>
      </c>
      <c r="K176" s="16" t="s">
        <v>3229</v>
      </c>
      <c r="L176" s="16" t="s">
        <v>3230</v>
      </c>
    </row>
    <row r="177" spans="1:12" x14ac:dyDescent="0.35">
      <c r="A177" s="16" t="s">
        <v>764</v>
      </c>
      <c r="B177" s="17">
        <v>46051.564351851855</v>
      </c>
      <c r="C177" s="16" t="s">
        <v>241</v>
      </c>
      <c r="D177" s="16" t="s">
        <v>242</v>
      </c>
      <c r="E177" s="16" t="s">
        <v>765</v>
      </c>
      <c r="F177" s="16" t="s">
        <v>69</v>
      </c>
      <c r="G177" s="16" t="s">
        <v>244</v>
      </c>
      <c r="H177" s="16" t="s">
        <v>277</v>
      </c>
      <c r="I177" s="16" t="s">
        <v>766</v>
      </c>
      <c r="J177" s="16" t="s">
        <v>249</v>
      </c>
      <c r="K177" s="16" t="s">
        <v>3255</v>
      </c>
      <c r="L177" s="16" t="s">
        <v>3235</v>
      </c>
    </row>
    <row r="178" spans="1:12" x14ac:dyDescent="0.35">
      <c r="A178" s="16" t="s">
        <v>767</v>
      </c>
      <c r="B178" s="17">
        <v>45803.172094907408</v>
      </c>
      <c r="C178" s="16" t="s">
        <v>260</v>
      </c>
      <c r="D178" s="16" t="s">
        <v>261</v>
      </c>
      <c r="E178" s="16" t="s">
        <v>768</v>
      </c>
      <c r="F178" s="16" t="s">
        <v>219</v>
      </c>
      <c r="G178" s="16" t="s">
        <v>220</v>
      </c>
      <c r="H178" s="16" t="s">
        <v>238</v>
      </c>
      <c r="I178" s="16" t="s">
        <v>769</v>
      </c>
      <c r="J178" s="16" t="s">
        <v>223</v>
      </c>
      <c r="K178" s="16" t="s">
        <v>3250</v>
      </c>
      <c r="L178" s="16" t="s">
        <v>3231</v>
      </c>
    </row>
    <row r="179" spans="1:12" x14ac:dyDescent="0.35">
      <c r="A179" s="16" t="s">
        <v>770</v>
      </c>
      <c r="B179" s="17">
        <v>45825.677002314813</v>
      </c>
      <c r="C179" s="16" t="s">
        <v>241</v>
      </c>
      <c r="D179" s="16" t="s">
        <v>242</v>
      </c>
      <c r="E179" s="16" t="s">
        <v>771</v>
      </c>
      <c r="F179" s="16" t="s">
        <v>219</v>
      </c>
      <c r="G179" s="16" t="s">
        <v>231</v>
      </c>
      <c r="H179" s="16" t="s">
        <v>221</v>
      </c>
      <c r="I179" s="16" t="s">
        <v>772</v>
      </c>
      <c r="J179" s="16" t="s">
        <v>270</v>
      </c>
      <c r="K179" s="16" t="s">
        <v>3255</v>
      </c>
      <c r="L179" s="16" t="s">
        <v>3235</v>
      </c>
    </row>
    <row r="180" spans="1:12" x14ac:dyDescent="0.35">
      <c r="A180" s="16" t="s">
        <v>773</v>
      </c>
      <c r="B180" s="17">
        <v>45645.675243055557</v>
      </c>
      <c r="C180" s="16" t="s">
        <v>228</v>
      </c>
      <c r="D180" s="16" t="s">
        <v>229</v>
      </c>
      <c r="E180" s="16" t="s">
        <v>774</v>
      </c>
      <c r="F180" s="16" t="s">
        <v>219</v>
      </c>
      <c r="G180" s="16" t="s">
        <v>231</v>
      </c>
      <c r="H180" s="16" t="s">
        <v>221</v>
      </c>
      <c r="I180" s="16" t="s">
        <v>775</v>
      </c>
      <c r="J180" s="16" t="s">
        <v>270</v>
      </c>
      <c r="K180" s="16" t="s">
        <v>3241</v>
      </c>
      <c r="L180" s="16" t="s">
        <v>3231</v>
      </c>
    </row>
    <row r="181" spans="1:12" x14ac:dyDescent="0.35">
      <c r="A181" s="16" t="s">
        <v>776</v>
      </c>
      <c r="B181" s="17">
        <v>45906.238935185182</v>
      </c>
      <c r="C181" s="16" t="s">
        <v>241</v>
      </c>
      <c r="D181" s="16" t="s">
        <v>242</v>
      </c>
      <c r="E181" s="16" t="s">
        <v>777</v>
      </c>
      <c r="F181" s="16" t="s">
        <v>69</v>
      </c>
      <c r="G181" s="16" t="s">
        <v>231</v>
      </c>
      <c r="H181" s="16" t="s">
        <v>273</v>
      </c>
      <c r="I181" s="16" t="s">
        <v>778</v>
      </c>
      <c r="J181" s="16" t="s">
        <v>270</v>
      </c>
      <c r="K181" s="16" t="s">
        <v>3251</v>
      </c>
      <c r="L181" s="16" t="s">
        <v>3231</v>
      </c>
    </row>
    <row r="182" spans="1:12" x14ac:dyDescent="0.35">
      <c r="A182" s="16" t="s">
        <v>779</v>
      </c>
      <c r="B182" s="17">
        <v>46303.039872685185</v>
      </c>
      <c r="C182" s="16" t="s">
        <v>228</v>
      </c>
      <c r="D182" s="16" t="s">
        <v>229</v>
      </c>
      <c r="E182" s="16" t="s">
        <v>780</v>
      </c>
      <c r="F182" s="16" t="s">
        <v>219</v>
      </c>
      <c r="G182" s="16" t="s">
        <v>244</v>
      </c>
      <c r="H182" s="16" t="s">
        <v>277</v>
      </c>
      <c r="I182" s="16" t="s">
        <v>781</v>
      </c>
      <c r="J182" s="16" t="s">
        <v>234</v>
      </c>
      <c r="K182" s="16" t="s">
        <v>3253</v>
      </c>
      <c r="L182" s="16" t="s">
        <v>3234</v>
      </c>
    </row>
    <row r="183" spans="1:12" x14ac:dyDescent="0.35">
      <c r="A183" s="16" t="s">
        <v>782</v>
      </c>
      <c r="B183" s="17">
        <v>45925.604016203702</v>
      </c>
      <c r="C183" s="16" t="s">
        <v>241</v>
      </c>
      <c r="D183" s="16" t="s">
        <v>242</v>
      </c>
      <c r="E183" s="16" t="s">
        <v>783</v>
      </c>
      <c r="F183" s="16" t="s">
        <v>219</v>
      </c>
      <c r="G183" s="16" t="s">
        <v>231</v>
      </c>
      <c r="H183" s="16" t="s">
        <v>221</v>
      </c>
      <c r="I183" s="16" t="s">
        <v>784</v>
      </c>
      <c r="J183" s="16" t="s">
        <v>270</v>
      </c>
      <c r="K183" s="16" t="s">
        <v>3229</v>
      </c>
      <c r="L183" s="16" t="s">
        <v>3230</v>
      </c>
    </row>
    <row r="184" spans="1:12" x14ac:dyDescent="0.35">
      <c r="A184" s="16" t="s">
        <v>785</v>
      </c>
      <c r="B184" s="17">
        <v>46213.706678240742</v>
      </c>
      <c r="C184" s="16" t="s">
        <v>228</v>
      </c>
      <c r="D184" s="16" t="s">
        <v>229</v>
      </c>
      <c r="E184" s="16" t="s">
        <v>786</v>
      </c>
      <c r="F184" s="16" t="s">
        <v>219</v>
      </c>
      <c r="G184" s="16" t="s">
        <v>231</v>
      </c>
      <c r="H184" s="16" t="s">
        <v>238</v>
      </c>
      <c r="I184" s="16" t="s">
        <v>787</v>
      </c>
      <c r="J184" s="16" t="s">
        <v>234</v>
      </c>
      <c r="K184" s="16" t="s">
        <v>3253</v>
      </c>
      <c r="L184" s="16" t="s">
        <v>3234</v>
      </c>
    </row>
    <row r="185" spans="1:12" x14ac:dyDescent="0.35">
      <c r="A185" s="16" t="s">
        <v>788</v>
      </c>
      <c r="B185" s="17">
        <v>45405.188356481478</v>
      </c>
      <c r="C185" s="16" t="s">
        <v>228</v>
      </c>
      <c r="D185" s="16" t="s">
        <v>229</v>
      </c>
      <c r="E185" s="16" t="s">
        <v>789</v>
      </c>
      <c r="F185" s="16" t="s">
        <v>69</v>
      </c>
      <c r="G185" s="16" t="s">
        <v>231</v>
      </c>
      <c r="H185" s="16" t="s">
        <v>232</v>
      </c>
      <c r="I185" s="16" t="s">
        <v>790</v>
      </c>
      <c r="J185" s="16" t="s">
        <v>249</v>
      </c>
      <c r="K185" s="16" t="s">
        <v>3229</v>
      </c>
      <c r="L185" s="16" t="s">
        <v>3230</v>
      </c>
    </row>
    <row r="186" spans="1:12" x14ac:dyDescent="0.35">
      <c r="A186" s="16" t="s">
        <v>791</v>
      </c>
      <c r="B186" s="17">
        <v>45873.119629629633</v>
      </c>
      <c r="C186" s="16" t="s">
        <v>228</v>
      </c>
      <c r="D186" s="16" t="s">
        <v>229</v>
      </c>
      <c r="E186" s="16" t="s">
        <v>792</v>
      </c>
      <c r="F186" s="16" t="s">
        <v>69</v>
      </c>
      <c r="G186" s="16" t="s">
        <v>244</v>
      </c>
      <c r="H186" s="16" t="s">
        <v>238</v>
      </c>
      <c r="I186" s="16" t="s">
        <v>793</v>
      </c>
      <c r="J186" s="16" t="s">
        <v>249</v>
      </c>
      <c r="K186" s="16" t="s">
        <v>3241</v>
      </c>
      <c r="L186" s="16" t="s">
        <v>3231</v>
      </c>
    </row>
    <row r="187" spans="1:12" x14ac:dyDescent="0.35">
      <c r="A187" s="16" t="s">
        <v>794</v>
      </c>
      <c r="B187" s="17">
        <v>46321.972395833334</v>
      </c>
      <c r="C187" s="16" t="s">
        <v>241</v>
      </c>
      <c r="D187" s="16" t="s">
        <v>242</v>
      </c>
      <c r="E187" s="16" t="s">
        <v>795</v>
      </c>
      <c r="F187" s="16" t="s">
        <v>219</v>
      </c>
      <c r="G187" s="16" t="s">
        <v>244</v>
      </c>
      <c r="H187" s="16" t="s">
        <v>273</v>
      </c>
      <c r="I187" s="16" t="s">
        <v>796</v>
      </c>
      <c r="J187" s="16" t="s">
        <v>249</v>
      </c>
      <c r="K187" s="16" t="s">
        <v>3241</v>
      </c>
      <c r="L187" s="16" t="s">
        <v>3231</v>
      </c>
    </row>
    <row r="188" spans="1:12" x14ac:dyDescent="0.35">
      <c r="A188" s="16" t="s">
        <v>797</v>
      </c>
      <c r="B188" s="17">
        <v>45458.068958333337</v>
      </c>
      <c r="C188" s="16" t="s">
        <v>241</v>
      </c>
      <c r="D188" s="16" t="s">
        <v>242</v>
      </c>
      <c r="E188" s="16" t="s">
        <v>798</v>
      </c>
      <c r="F188" s="16" t="s">
        <v>219</v>
      </c>
      <c r="G188" s="16" t="s">
        <v>231</v>
      </c>
      <c r="H188" s="16" t="s">
        <v>221</v>
      </c>
      <c r="I188" s="16" t="s">
        <v>799</v>
      </c>
      <c r="J188" s="16" t="s">
        <v>223</v>
      </c>
      <c r="K188" s="16" t="s">
        <v>3247</v>
      </c>
      <c r="L188" s="16" t="s">
        <v>3234</v>
      </c>
    </row>
    <row r="189" spans="1:12" x14ac:dyDescent="0.35">
      <c r="A189" s="16" t="s">
        <v>800</v>
      </c>
      <c r="B189" s="17">
        <v>45885.973796296297</v>
      </c>
      <c r="C189" s="16" t="s">
        <v>241</v>
      </c>
      <c r="D189" s="16" t="s">
        <v>242</v>
      </c>
      <c r="E189" s="16" t="s">
        <v>801</v>
      </c>
      <c r="F189" s="16" t="s">
        <v>237</v>
      </c>
      <c r="G189" s="16" t="s">
        <v>220</v>
      </c>
      <c r="H189" s="16" t="s">
        <v>221</v>
      </c>
      <c r="I189" s="16" t="s">
        <v>802</v>
      </c>
      <c r="J189" s="16" t="s">
        <v>223</v>
      </c>
      <c r="K189" s="16" t="s">
        <v>3247</v>
      </c>
      <c r="L189" s="16" t="s">
        <v>3234</v>
      </c>
    </row>
    <row r="190" spans="1:12" x14ac:dyDescent="0.35">
      <c r="A190" s="16" t="s">
        <v>803</v>
      </c>
      <c r="B190" s="17">
        <v>46192.630509259259</v>
      </c>
      <c r="C190" s="16" t="s">
        <v>216</v>
      </c>
      <c r="D190" s="16" t="s">
        <v>217</v>
      </c>
      <c r="E190" s="16" t="s">
        <v>804</v>
      </c>
      <c r="F190" s="16" t="s">
        <v>237</v>
      </c>
      <c r="G190" s="16" t="s">
        <v>220</v>
      </c>
      <c r="H190" s="16" t="s">
        <v>221</v>
      </c>
      <c r="I190" s="16" t="s">
        <v>805</v>
      </c>
      <c r="J190" s="16" t="s">
        <v>234</v>
      </c>
      <c r="K190" s="16" t="s">
        <v>3229</v>
      </c>
      <c r="L190" s="16" t="s">
        <v>3230</v>
      </c>
    </row>
    <row r="191" spans="1:12" x14ac:dyDescent="0.35">
      <c r="A191" s="16" t="s">
        <v>806</v>
      </c>
      <c r="B191" s="17">
        <v>46108.198368055557</v>
      </c>
      <c r="C191" s="16" t="s">
        <v>301</v>
      </c>
      <c r="D191" s="16" t="s">
        <v>302</v>
      </c>
      <c r="E191" s="16" t="s">
        <v>807</v>
      </c>
      <c r="F191" s="16" t="s">
        <v>219</v>
      </c>
      <c r="G191" s="16" t="s">
        <v>244</v>
      </c>
      <c r="H191" s="16" t="s">
        <v>238</v>
      </c>
      <c r="I191" s="16" t="s">
        <v>808</v>
      </c>
      <c r="J191" s="16" t="s">
        <v>234</v>
      </c>
      <c r="K191" s="16" t="s">
        <v>3238</v>
      </c>
      <c r="L191" s="16" t="s">
        <v>3230</v>
      </c>
    </row>
    <row r="192" spans="1:12" x14ac:dyDescent="0.35">
      <c r="A192" s="16" t="s">
        <v>809</v>
      </c>
      <c r="B192" s="17">
        <v>46212.376099537039</v>
      </c>
      <c r="C192" s="16" t="s">
        <v>260</v>
      </c>
      <c r="D192" s="16" t="s">
        <v>261</v>
      </c>
      <c r="E192" s="16" t="s">
        <v>810</v>
      </c>
      <c r="F192" s="16" t="s">
        <v>69</v>
      </c>
      <c r="G192" s="16" t="s">
        <v>220</v>
      </c>
      <c r="H192" s="16" t="s">
        <v>221</v>
      </c>
      <c r="I192" s="16" t="s">
        <v>811</v>
      </c>
      <c r="J192" s="16" t="s">
        <v>223</v>
      </c>
      <c r="K192" s="16" t="s">
        <v>3259</v>
      </c>
      <c r="L192" s="16" t="s">
        <v>3235</v>
      </c>
    </row>
    <row r="193" spans="1:12" x14ac:dyDescent="0.35">
      <c r="A193" s="16" t="s">
        <v>812</v>
      </c>
      <c r="B193" s="17">
        <v>45932.287974537037</v>
      </c>
      <c r="C193" s="16" t="s">
        <v>228</v>
      </c>
      <c r="D193" s="16" t="s">
        <v>229</v>
      </c>
      <c r="E193" s="16" t="s">
        <v>813</v>
      </c>
      <c r="F193" s="16" t="s">
        <v>237</v>
      </c>
      <c r="G193" s="16" t="s">
        <v>244</v>
      </c>
      <c r="H193" s="16" t="s">
        <v>277</v>
      </c>
      <c r="I193" s="16" t="s">
        <v>814</v>
      </c>
      <c r="J193" s="16" t="s">
        <v>249</v>
      </c>
      <c r="K193" s="16" t="s">
        <v>3251</v>
      </c>
      <c r="L193" s="16" t="s">
        <v>3231</v>
      </c>
    </row>
    <row r="194" spans="1:12" x14ac:dyDescent="0.35">
      <c r="A194" s="16" t="s">
        <v>815</v>
      </c>
      <c r="B194" s="17">
        <v>46097.766770833332</v>
      </c>
      <c r="C194" s="16" t="s">
        <v>260</v>
      </c>
      <c r="D194" s="16" t="s">
        <v>261</v>
      </c>
      <c r="E194" s="16" t="s">
        <v>816</v>
      </c>
      <c r="F194" s="16" t="s">
        <v>69</v>
      </c>
      <c r="G194" s="16" t="s">
        <v>220</v>
      </c>
      <c r="H194" s="16" t="s">
        <v>221</v>
      </c>
      <c r="I194" s="16" t="s">
        <v>817</v>
      </c>
      <c r="J194" s="16" t="s">
        <v>270</v>
      </c>
      <c r="K194" s="16" t="s">
        <v>3255</v>
      </c>
      <c r="L194" s="16" t="s">
        <v>3235</v>
      </c>
    </row>
    <row r="195" spans="1:12" x14ac:dyDescent="0.35">
      <c r="A195" s="16" t="s">
        <v>818</v>
      </c>
      <c r="B195" s="17">
        <v>46255.433483796296</v>
      </c>
      <c r="C195" s="16" t="s">
        <v>301</v>
      </c>
      <c r="D195" s="16" t="s">
        <v>302</v>
      </c>
      <c r="E195" s="16" t="s">
        <v>819</v>
      </c>
      <c r="F195" s="16" t="s">
        <v>69</v>
      </c>
      <c r="G195" s="16" t="s">
        <v>220</v>
      </c>
      <c r="H195" s="16" t="s">
        <v>232</v>
      </c>
      <c r="I195" s="16" t="s">
        <v>820</v>
      </c>
      <c r="J195" s="16" t="s">
        <v>249</v>
      </c>
      <c r="K195" s="16" t="s">
        <v>3246</v>
      </c>
      <c r="L195" s="16" t="s">
        <v>3234</v>
      </c>
    </row>
    <row r="196" spans="1:12" x14ac:dyDescent="0.35">
      <c r="A196" s="16" t="s">
        <v>821</v>
      </c>
      <c r="B196" s="17">
        <v>45384.60769675926</v>
      </c>
      <c r="C196" s="16" t="s">
        <v>301</v>
      </c>
      <c r="D196" s="16" t="s">
        <v>302</v>
      </c>
      <c r="E196" s="16" t="s">
        <v>822</v>
      </c>
      <c r="F196" s="16" t="s">
        <v>219</v>
      </c>
      <c r="G196" s="16" t="s">
        <v>244</v>
      </c>
      <c r="H196" s="16" t="s">
        <v>232</v>
      </c>
      <c r="I196" s="16" t="s">
        <v>823</v>
      </c>
      <c r="J196" s="16" t="s">
        <v>249</v>
      </c>
      <c r="K196" s="16" t="s">
        <v>3237</v>
      </c>
      <c r="L196" s="16" t="s">
        <v>3230</v>
      </c>
    </row>
    <row r="197" spans="1:12" x14ac:dyDescent="0.35">
      <c r="A197" s="16" t="s">
        <v>824</v>
      </c>
      <c r="B197" s="17">
        <v>46214.834143518521</v>
      </c>
      <c r="C197" s="16" t="s">
        <v>216</v>
      </c>
      <c r="D197" s="16" t="s">
        <v>217</v>
      </c>
      <c r="E197" s="16" t="s">
        <v>825</v>
      </c>
      <c r="F197" s="16" t="s">
        <v>219</v>
      </c>
      <c r="G197" s="16" t="s">
        <v>244</v>
      </c>
      <c r="H197" s="16" t="s">
        <v>232</v>
      </c>
      <c r="I197" s="16" t="s">
        <v>826</v>
      </c>
      <c r="J197" s="16" t="s">
        <v>270</v>
      </c>
      <c r="K197" s="16" t="s">
        <v>3248</v>
      </c>
      <c r="L197" s="16" t="s">
        <v>3231</v>
      </c>
    </row>
    <row r="198" spans="1:12" x14ac:dyDescent="0.35">
      <c r="A198" s="16" t="s">
        <v>827</v>
      </c>
      <c r="B198" s="17">
        <v>46040.218854166669</v>
      </c>
      <c r="C198" s="16" t="s">
        <v>260</v>
      </c>
      <c r="D198" s="16" t="s">
        <v>261</v>
      </c>
      <c r="E198" s="16" t="s">
        <v>828</v>
      </c>
      <c r="F198" s="16" t="s">
        <v>219</v>
      </c>
      <c r="G198" s="16" t="s">
        <v>244</v>
      </c>
      <c r="H198" s="16" t="s">
        <v>238</v>
      </c>
      <c r="I198" s="16" t="s">
        <v>829</v>
      </c>
      <c r="J198" s="16" t="s">
        <v>270</v>
      </c>
      <c r="K198" s="16" t="s">
        <v>3241</v>
      </c>
      <c r="L198" s="16" t="s">
        <v>3231</v>
      </c>
    </row>
    <row r="199" spans="1:12" x14ac:dyDescent="0.35">
      <c r="A199" s="16" t="s">
        <v>830</v>
      </c>
      <c r="B199" s="17">
        <v>45974.718680555554</v>
      </c>
      <c r="C199" s="16" t="s">
        <v>216</v>
      </c>
      <c r="D199" s="16" t="s">
        <v>217</v>
      </c>
      <c r="E199" s="16" t="s">
        <v>831</v>
      </c>
      <c r="F199" s="16" t="s">
        <v>237</v>
      </c>
      <c r="G199" s="16" t="s">
        <v>220</v>
      </c>
      <c r="H199" s="16" t="s">
        <v>221</v>
      </c>
      <c r="I199" s="16" t="s">
        <v>832</v>
      </c>
      <c r="J199" s="16" t="s">
        <v>249</v>
      </c>
      <c r="K199" s="16" t="s">
        <v>3252</v>
      </c>
      <c r="L199" s="16" t="s">
        <v>3232</v>
      </c>
    </row>
    <row r="200" spans="1:12" x14ac:dyDescent="0.35">
      <c r="A200" s="16" t="s">
        <v>833</v>
      </c>
      <c r="B200" s="17">
        <v>46096.935243055559</v>
      </c>
      <c r="C200" s="16" t="s">
        <v>241</v>
      </c>
      <c r="D200" s="16" t="s">
        <v>242</v>
      </c>
      <c r="E200" s="16" t="s">
        <v>834</v>
      </c>
      <c r="F200" s="16" t="s">
        <v>219</v>
      </c>
      <c r="G200" s="16" t="s">
        <v>231</v>
      </c>
      <c r="H200" s="16" t="s">
        <v>238</v>
      </c>
      <c r="I200" s="16" t="s">
        <v>835</v>
      </c>
      <c r="J200" s="16" t="s">
        <v>223</v>
      </c>
      <c r="K200" s="16" t="s">
        <v>3251</v>
      </c>
      <c r="L200" s="16" t="s">
        <v>3231</v>
      </c>
    </row>
    <row r="201" spans="1:12" x14ac:dyDescent="0.35">
      <c r="A201" s="16" t="s">
        <v>836</v>
      </c>
      <c r="B201" s="17">
        <v>45326.558807870373</v>
      </c>
      <c r="C201" s="16" t="s">
        <v>241</v>
      </c>
      <c r="D201" s="16" t="s">
        <v>242</v>
      </c>
      <c r="E201" s="16" t="s">
        <v>837</v>
      </c>
      <c r="F201" s="16" t="s">
        <v>219</v>
      </c>
      <c r="G201" s="16" t="s">
        <v>220</v>
      </c>
      <c r="H201" s="16" t="s">
        <v>238</v>
      </c>
      <c r="I201" s="16" t="s">
        <v>838</v>
      </c>
      <c r="J201" s="16" t="s">
        <v>249</v>
      </c>
      <c r="K201" s="16" t="s">
        <v>3247</v>
      </c>
      <c r="L201" s="16" t="s">
        <v>3234</v>
      </c>
    </row>
    <row r="202" spans="1:12" x14ac:dyDescent="0.35">
      <c r="A202" s="16" t="s">
        <v>839</v>
      </c>
      <c r="B202" s="17">
        <v>45835.99454861111</v>
      </c>
      <c r="C202" s="16" t="s">
        <v>216</v>
      </c>
      <c r="D202" s="16" t="s">
        <v>217</v>
      </c>
      <c r="E202" s="16" t="s">
        <v>840</v>
      </c>
      <c r="F202" s="16" t="s">
        <v>219</v>
      </c>
      <c r="G202" s="16" t="s">
        <v>220</v>
      </c>
      <c r="H202" s="16" t="s">
        <v>273</v>
      </c>
      <c r="I202" s="16" t="s">
        <v>841</v>
      </c>
      <c r="J202" s="16" t="s">
        <v>223</v>
      </c>
      <c r="K202" s="16" t="s">
        <v>3242</v>
      </c>
      <c r="L202" s="16" t="s">
        <v>3232</v>
      </c>
    </row>
    <row r="203" spans="1:12" x14ac:dyDescent="0.35">
      <c r="A203" s="16" t="s">
        <v>842</v>
      </c>
      <c r="B203" s="17">
        <v>46070.224178240744</v>
      </c>
      <c r="C203" s="16" t="s">
        <v>228</v>
      </c>
      <c r="D203" s="16" t="s">
        <v>229</v>
      </c>
      <c r="E203" s="16" t="s">
        <v>843</v>
      </c>
      <c r="F203" s="16" t="s">
        <v>69</v>
      </c>
      <c r="G203" s="16" t="s">
        <v>220</v>
      </c>
      <c r="H203" s="16" t="s">
        <v>273</v>
      </c>
      <c r="I203" s="16" t="s">
        <v>844</v>
      </c>
      <c r="J203" s="16" t="s">
        <v>270</v>
      </c>
      <c r="K203" s="16" t="s">
        <v>3242</v>
      </c>
      <c r="L203" s="16" t="s">
        <v>3232</v>
      </c>
    </row>
    <row r="204" spans="1:12" x14ac:dyDescent="0.35">
      <c r="A204" s="16" t="s">
        <v>845</v>
      </c>
      <c r="B204" s="17">
        <v>45602.626469907409</v>
      </c>
      <c r="C204" s="16" t="s">
        <v>260</v>
      </c>
      <c r="D204" s="16" t="s">
        <v>261</v>
      </c>
      <c r="E204" s="16" t="s">
        <v>846</v>
      </c>
      <c r="F204" s="16" t="s">
        <v>237</v>
      </c>
      <c r="G204" s="16" t="s">
        <v>244</v>
      </c>
      <c r="H204" s="16" t="s">
        <v>238</v>
      </c>
      <c r="I204" s="16" t="s">
        <v>847</v>
      </c>
      <c r="J204" s="16" t="s">
        <v>270</v>
      </c>
      <c r="K204" s="16" t="s">
        <v>3243</v>
      </c>
      <c r="L204" s="16" t="s">
        <v>3234</v>
      </c>
    </row>
    <row r="205" spans="1:12" x14ac:dyDescent="0.35">
      <c r="A205" s="16" t="s">
        <v>848</v>
      </c>
      <c r="B205" s="17">
        <v>45957.725706018522</v>
      </c>
      <c r="C205" s="16" t="s">
        <v>228</v>
      </c>
      <c r="D205" s="16" t="s">
        <v>229</v>
      </c>
      <c r="E205" s="16" t="s">
        <v>849</v>
      </c>
      <c r="F205" s="16" t="s">
        <v>237</v>
      </c>
      <c r="G205" s="16" t="s">
        <v>231</v>
      </c>
      <c r="H205" s="16" t="s">
        <v>273</v>
      </c>
      <c r="I205" s="16" t="s">
        <v>850</v>
      </c>
      <c r="J205" s="16" t="s">
        <v>249</v>
      </c>
      <c r="K205" s="16" t="s">
        <v>3254</v>
      </c>
      <c r="L205" s="16" t="s">
        <v>3232</v>
      </c>
    </row>
    <row r="206" spans="1:12" x14ac:dyDescent="0.35">
      <c r="A206" s="16" t="s">
        <v>851</v>
      </c>
      <c r="B206" s="17">
        <v>46283.291666666664</v>
      </c>
      <c r="C206" s="16" t="s">
        <v>241</v>
      </c>
      <c r="D206" s="16" t="s">
        <v>242</v>
      </c>
      <c r="E206" s="16" t="s">
        <v>852</v>
      </c>
      <c r="F206" s="16" t="s">
        <v>237</v>
      </c>
      <c r="G206" s="16" t="s">
        <v>244</v>
      </c>
      <c r="H206" s="16" t="s">
        <v>238</v>
      </c>
      <c r="I206" s="16" t="s">
        <v>853</v>
      </c>
      <c r="J206" s="16" t="s">
        <v>249</v>
      </c>
      <c r="K206" s="16" t="s">
        <v>3246</v>
      </c>
      <c r="L206" s="16" t="s">
        <v>3234</v>
      </c>
    </row>
    <row r="207" spans="1:12" x14ac:dyDescent="0.35">
      <c r="A207" s="16" t="s">
        <v>854</v>
      </c>
      <c r="B207" s="17">
        <v>45941.727870370371</v>
      </c>
      <c r="C207" s="16" t="s">
        <v>301</v>
      </c>
      <c r="D207" s="16" t="s">
        <v>302</v>
      </c>
      <c r="E207" s="16" t="s">
        <v>855</v>
      </c>
      <c r="F207" s="16" t="s">
        <v>219</v>
      </c>
      <c r="G207" s="16" t="s">
        <v>244</v>
      </c>
      <c r="H207" s="16" t="s">
        <v>277</v>
      </c>
      <c r="I207" s="16" t="s">
        <v>856</v>
      </c>
      <c r="J207" s="16" t="s">
        <v>270</v>
      </c>
      <c r="K207" s="16" t="s">
        <v>3241</v>
      </c>
      <c r="L207" s="16" t="s">
        <v>3231</v>
      </c>
    </row>
    <row r="208" spans="1:12" x14ac:dyDescent="0.35">
      <c r="A208" s="16" t="s">
        <v>857</v>
      </c>
      <c r="B208" s="17">
        <v>46100.523576388892</v>
      </c>
      <c r="C208" s="16" t="s">
        <v>241</v>
      </c>
      <c r="D208" s="16" t="s">
        <v>242</v>
      </c>
      <c r="E208" s="16" t="s">
        <v>858</v>
      </c>
      <c r="F208" s="16" t="s">
        <v>237</v>
      </c>
      <c r="G208" s="16" t="s">
        <v>220</v>
      </c>
      <c r="H208" s="16" t="s">
        <v>273</v>
      </c>
      <c r="I208" s="16" t="s">
        <v>859</v>
      </c>
      <c r="J208" s="16" t="s">
        <v>270</v>
      </c>
      <c r="K208" s="16" t="s">
        <v>3236</v>
      </c>
      <c r="L208" s="16" t="s">
        <v>3230</v>
      </c>
    </row>
    <row r="209" spans="1:12" x14ac:dyDescent="0.35">
      <c r="A209" s="16" t="s">
        <v>860</v>
      </c>
      <c r="B209" s="17">
        <v>46273.324618055558</v>
      </c>
      <c r="C209" s="16" t="s">
        <v>301</v>
      </c>
      <c r="D209" s="16" t="s">
        <v>302</v>
      </c>
      <c r="E209" s="16" t="s">
        <v>861</v>
      </c>
      <c r="F209" s="16" t="s">
        <v>219</v>
      </c>
      <c r="G209" s="16" t="s">
        <v>231</v>
      </c>
      <c r="H209" s="16" t="s">
        <v>232</v>
      </c>
      <c r="I209" s="16" t="s">
        <v>862</v>
      </c>
      <c r="J209" s="16" t="s">
        <v>270</v>
      </c>
      <c r="K209" s="16" t="s">
        <v>3236</v>
      </c>
      <c r="L209" s="16" t="s">
        <v>3230</v>
      </c>
    </row>
    <row r="210" spans="1:12" x14ac:dyDescent="0.35">
      <c r="A210" s="16" t="s">
        <v>863</v>
      </c>
      <c r="B210" s="17">
        <v>45788.077002314814</v>
      </c>
      <c r="C210" s="16" t="s">
        <v>241</v>
      </c>
      <c r="D210" s="16" t="s">
        <v>242</v>
      </c>
      <c r="E210" s="16" t="s">
        <v>864</v>
      </c>
      <c r="F210" s="16" t="s">
        <v>219</v>
      </c>
      <c r="G210" s="16" t="s">
        <v>220</v>
      </c>
      <c r="H210" s="16" t="s">
        <v>273</v>
      </c>
      <c r="I210" s="16" t="s">
        <v>865</v>
      </c>
      <c r="J210" s="16" t="s">
        <v>270</v>
      </c>
      <c r="K210" s="16" t="s">
        <v>3242</v>
      </c>
      <c r="L210" s="16" t="s">
        <v>3232</v>
      </c>
    </row>
    <row r="211" spans="1:12" x14ac:dyDescent="0.35">
      <c r="A211" s="16" t="s">
        <v>866</v>
      </c>
      <c r="B211" s="17">
        <v>45497.208541666667</v>
      </c>
      <c r="C211" s="16" t="s">
        <v>260</v>
      </c>
      <c r="D211" s="16" t="s">
        <v>261</v>
      </c>
      <c r="E211" s="16" t="s">
        <v>867</v>
      </c>
      <c r="F211" s="16" t="s">
        <v>219</v>
      </c>
      <c r="G211" s="16" t="s">
        <v>220</v>
      </c>
      <c r="H211" s="16" t="s">
        <v>238</v>
      </c>
      <c r="I211" s="16" t="s">
        <v>868</v>
      </c>
      <c r="J211" s="16" t="s">
        <v>223</v>
      </c>
      <c r="K211" s="16" t="s">
        <v>3253</v>
      </c>
      <c r="L211" s="16" t="s">
        <v>3234</v>
      </c>
    </row>
    <row r="212" spans="1:12" x14ac:dyDescent="0.35">
      <c r="A212" s="16" t="s">
        <v>869</v>
      </c>
      <c r="B212" s="17">
        <v>45949.432974537034</v>
      </c>
      <c r="C212" s="16" t="s">
        <v>260</v>
      </c>
      <c r="D212" s="16" t="s">
        <v>261</v>
      </c>
      <c r="E212" s="16" t="s">
        <v>870</v>
      </c>
      <c r="F212" s="16" t="s">
        <v>69</v>
      </c>
      <c r="G212" s="16" t="s">
        <v>220</v>
      </c>
      <c r="H212" s="16" t="s">
        <v>277</v>
      </c>
      <c r="I212" s="16" t="s">
        <v>871</v>
      </c>
      <c r="J212" s="16" t="s">
        <v>270</v>
      </c>
      <c r="K212" s="16" t="s">
        <v>3241</v>
      </c>
      <c r="L212" s="16" t="s">
        <v>3231</v>
      </c>
    </row>
    <row r="213" spans="1:12" x14ac:dyDescent="0.35">
      <c r="A213" s="16" t="s">
        <v>872</v>
      </c>
      <c r="B213" s="17">
        <v>45366.60224537037</v>
      </c>
      <c r="C213" s="16" t="s">
        <v>228</v>
      </c>
      <c r="D213" s="16" t="s">
        <v>229</v>
      </c>
      <c r="E213" s="16" t="s">
        <v>873</v>
      </c>
      <c r="F213" s="16" t="s">
        <v>69</v>
      </c>
      <c r="G213" s="16" t="s">
        <v>244</v>
      </c>
      <c r="H213" s="16" t="s">
        <v>232</v>
      </c>
      <c r="I213" s="16" t="s">
        <v>874</v>
      </c>
      <c r="J213" s="16" t="s">
        <v>270</v>
      </c>
      <c r="K213" s="16" t="s">
        <v>3252</v>
      </c>
      <c r="L213" s="16" t="s">
        <v>3232</v>
      </c>
    </row>
    <row r="214" spans="1:12" x14ac:dyDescent="0.35">
      <c r="A214" s="16" t="s">
        <v>875</v>
      </c>
      <c r="B214" s="17">
        <v>45511.508263888885</v>
      </c>
      <c r="C214" s="16" t="s">
        <v>301</v>
      </c>
      <c r="D214" s="16" t="s">
        <v>302</v>
      </c>
      <c r="E214" s="16" t="s">
        <v>876</v>
      </c>
      <c r="F214" s="16" t="s">
        <v>237</v>
      </c>
      <c r="G214" s="16" t="s">
        <v>244</v>
      </c>
      <c r="H214" s="16" t="s">
        <v>273</v>
      </c>
      <c r="I214" s="16" t="s">
        <v>877</v>
      </c>
      <c r="J214" s="16" t="s">
        <v>223</v>
      </c>
      <c r="K214" s="16" t="s">
        <v>3249</v>
      </c>
      <c r="L214" s="16" t="s">
        <v>3232</v>
      </c>
    </row>
    <row r="215" spans="1:12" x14ac:dyDescent="0.35">
      <c r="A215" s="16" t="s">
        <v>878</v>
      </c>
      <c r="B215" s="17">
        <v>45850.292500000003</v>
      </c>
      <c r="C215" s="16" t="s">
        <v>228</v>
      </c>
      <c r="D215" s="16" t="s">
        <v>229</v>
      </c>
      <c r="E215" s="16" t="s">
        <v>879</v>
      </c>
      <c r="F215" s="16" t="s">
        <v>237</v>
      </c>
      <c r="G215" s="16" t="s">
        <v>220</v>
      </c>
      <c r="H215" s="16" t="s">
        <v>273</v>
      </c>
      <c r="I215" s="16" t="s">
        <v>880</v>
      </c>
      <c r="J215" s="16" t="s">
        <v>249</v>
      </c>
      <c r="K215" s="16" t="s">
        <v>3250</v>
      </c>
      <c r="L215" s="16" t="s">
        <v>3231</v>
      </c>
    </row>
    <row r="216" spans="1:12" x14ac:dyDescent="0.35">
      <c r="A216" s="16" t="s">
        <v>881</v>
      </c>
      <c r="B216" s="17">
        <v>45896.861342592594</v>
      </c>
      <c r="C216" s="16" t="s">
        <v>228</v>
      </c>
      <c r="D216" s="16" t="s">
        <v>229</v>
      </c>
      <c r="E216" s="16" t="s">
        <v>882</v>
      </c>
      <c r="F216" s="16" t="s">
        <v>69</v>
      </c>
      <c r="G216" s="16" t="s">
        <v>220</v>
      </c>
      <c r="H216" s="16" t="s">
        <v>221</v>
      </c>
      <c r="I216" s="16" t="s">
        <v>883</v>
      </c>
      <c r="J216" s="16" t="s">
        <v>249</v>
      </c>
      <c r="K216" s="16" t="s">
        <v>3237</v>
      </c>
      <c r="L216" s="16" t="s">
        <v>3230</v>
      </c>
    </row>
    <row r="217" spans="1:12" x14ac:dyDescent="0.35">
      <c r="A217" s="16" t="s">
        <v>884</v>
      </c>
      <c r="B217" s="17">
        <v>45670.213310185187</v>
      </c>
      <c r="C217" s="16" t="s">
        <v>216</v>
      </c>
      <c r="D217" s="16" t="s">
        <v>217</v>
      </c>
      <c r="E217" s="16" t="s">
        <v>885</v>
      </c>
      <c r="F217" s="16" t="s">
        <v>237</v>
      </c>
      <c r="G217" s="16" t="s">
        <v>220</v>
      </c>
      <c r="H217" s="16" t="s">
        <v>232</v>
      </c>
      <c r="I217" s="16" t="s">
        <v>886</v>
      </c>
      <c r="J217" s="16" t="s">
        <v>223</v>
      </c>
      <c r="K217" s="16" t="s">
        <v>3251</v>
      </c>
      <c r="L217" s="16" t="s">
        <v>3231</v>
      </c>
    </row>
    <row r="218" spans="1:12" x14ac:dyDescent="0.35">
      <c r="A218" s="16" t="s">
        <v>887</v>
      </c>
      <c r="B218" s="17">
        <v>45967.458055555559</v>
      </c>
      <c r="C218" s="16" t="s">
        <v>228</v>
      </c>
      <c r="D218" s="16" t="s">
        <v>229</v>
      </c>
      <c r="E218" s="16" t="s">
        <v>888</v>
      </c>
      <c r="F218" s="16" t="s">
        <v>219</v>
      </c>
      <c r="G218" s="16" t="s">
        <v>244</v>
      </c>
      <c r="H218" s="16" t="s">
        <v>232</v>
      </c>
      <c r="I218" s="16" t="s">
        <v>889</v>
      </c>
      <c r="J218" s="16" t="s">
        <v>249</v>
      </c>
      <c r="K218" s="16" t="s">
        <v>3247</v>
      </c>
      <c r="L218" s="16" t="s">
        <v>3234</v>
      </c>
    </row>
    <row r="219" spans="1:12" x14ac:dyDescent="0.35">
      <c r="A219" s="16" t="s">
        <v>890</v>
      </c>
      <c r="B219" s="17">
        <v>46245.465428240743</v>
      </c>
      <c r="C219" s="16" t="s">
        <v>228</v>
      </c>
      <c r="D219" s="16" t="s">
        <v>229</v>
      </c>
      <c r="E219" s="16" t="s">
        <v>891</v>
      </c>
      <c r="F219" s="16" t="s">
        <v>237</v>
      </c>
      <c r="G219" s="16" t="s">
        <v>244</v>
      </c>
      <c r="H219" s="16" t="s">
        <v>221</v>
      </c>
      <c r="I219" s="16" t="s">
        <v>892</v>
      </c>
      <c r="J219" s="16" t="s">
        <v>249</v>
      </c>
      <c r="K219" s="16" t="s">
        <v>3248</v>
      </c>
      <c r="L219" s="16" t="s">
        <v>3231</v>
      </c>
    </row>
    <row r="220" spans="1:12" x14ac:dyDescent="0.35">
      <c r="A220" s="16" t="s">
        <v>893</v>
      </c>
      <c r="B220" s="17">
        <v>45744.332418981481</v>
      </c>
      <c r="C220" s="16" t="s">
        <v>216</v>
      </c>
      <c r="D220" s="16" t="s">
        <v>217</v>
      </c>
      <c r="E220" s="16" t="s">
        <v>894</v>
      </c>
      <c r="F220" s="16" t="s">
        <v>237</v>
      </c>
      <c r="G220" s="16" t="s">
        <v>220</v>
      </c>
      <c r="H220" s="16" t="s">
        <v>238</v>
      </c>
      <c r="I220" s="16" t="s">
        <v>895</v>
      </c>
      <c r="J220" s="16" t="s">
        <v>249</v>
      </c>
      <c r="K220" s="16" t="s">
        <v>3237</v>
      </c>
      <c r="L220" s="16" t="s">
        <v>3230</v>
      </c>
    </row>
    <row r="221" spans="1:12" x14ac:dyDescent="0.35">
      <c r="A221" s="16" t="s">
        <v>896</v>
      </c>
      <c r="B221" s="17">
        <v>45739.375405092593</v>
      </c>
      <c r="C221" s="16" t="s">
        <v>260</v>
      </c>
      <c r="D221" s="16" t="s">
        <v>261</v>
      </c>
      <c r="E221" s="16" t="s">
        <v>897</v>
      </c>
      <c r="F221" s="16" t="s">
        <v>219</v>
      </c>
      <c r="G221" s="16" t="s">
        <v>220</v>
      </c>
      <c r="H221" s="16" t="s">
        <v>273</v>
      </c>
      <c r="I221" s="16" t="s">
        <v>898</v>
      </c>
      <c r="J221" s="16" t="s">
        <v>249</v>
      </c>
      <c r="K221" s="16" t="s">
        <v>3245</v>
      </c>
      <c r="L221" s="16" t="s">
        <v>3232</v>
      </c>
    </row>
    <row r="222" spans="1:12" x14ac:dyDescent="0.35">
      <c r="A222" s="16" t="s">
        <v>899</v>
      </c>
      <c r="B222" s="17">
        <v>45418.83079861111</v>
      </c>
      <c r="C222" s="16" t="s">
        <v>216</v>
      </c>
      <c r="D222" s="16" t="s">
        <v>217</v>
      </c>
      <c r="E222" s="16" t="s">
        <v>900</v>
      </c>
      <c r="F222" s="16" t="s">
        <v>69</v>
      </c>
      <c r="G222" s="16" t="s">
        <v>244</v>
      </c>
      <c r="H222" s="16" t="s">
        <v>273</v>
      </c>
      <c r="I222" s="16" t="s">
        <v>901</v>
      </c>
      <c r="J222" s="16" t="s">
        <v>234</v>
      </c>
      <c r="K222" s="16" t="s">
        <v>3248</v>
      </c>
      <c r="L222" s="16" t="s">
        <v>3231</v>
      </c>
    </row>
    <row r="223" spans="1:12" x14ac:dyDescent="0.35">
      <c r="A223" s="16" t="s">
        <v>902</v>
      </c>
      <c r="B223" s="17">
        <v>45530.311597222222</v>
      </c>
      <c r="C223" s="16" t="s">
        <v>301</v>
      </c>
      <c r="D223" s="16" t="s">
        <v>302</v>
      </c>
      <c r="E223" s="16" t="s">
        <v>903</v>
      </c>
      <c r="F223" s="16" t="s">
        <v>237</v>
      </c>
      <c r="G223" s="16" t="s">
        <v>220</v>
      </c>
      <c r="H223" s="16" t="s">
        <v>273</v>
      </c>
      <c r="I223" s="16" t="s">
        <v>904</v>
      </c>
      <c r="J223" s="16" t="s">
        <v>270</v>
      </c>
      <c r="K223" s="16" t="s">
        <v>3233</v>
      </c>
      <c r="L223" s="16" t="s">
        <v>3230</v>
      </c>
    </row>
    <row r="224" spans="1:12" x14ac:dyDescent="0.35">
      <c r="A224" s="16" t="s">
        <v>905</v>
      </c>
      <c r="B224" s="17">
        <v>46142.692974537036</v>
      </c>
      <c r="C224" s="16" t="s">
        <v>260</v>
      </c>
      <c r="D224" s="16" t="s">
        <v>261</v>
      </c>
      <c r="E224" s="16" t="s">
        <v>906</v>
      </c>
      <c r="F224" s="16" t="s">
        <v>69</v>
      </c>
      <c r="G224" s="16" t="s">
        <v>244</v>
      </c>
      <c r="H224" s="16" t="s">
        <v>277</v>
      </c>
      <c r="I224" s="16" t="s">
        <v>907</v>
      </c>
      <c r="J224" s="16" t="s">
        <v>249</v>
      </c>
      <c r="K224" s="16" t="s">
        <v>3253</v>
      </c>
      <c r="L224" s="16" t="s">
        <v>3234</v>
      </c>
    </row>
    <row r="225" spans="1:12" x14ac:dyDescent="0.35">
      <c r="A225" s="16" t="s">
        <v>908</v>
      </c>
      <c r="B225" s="17">
        <v>45298.330555555556</v>
      </c>
      <c r="C225" s="16" t="s">
        <v>216</v>
      </c>
      <c r="D225" s="16" t="s">
        <v>217</v>
      </c>
      <c r="E225" s="16" t="s">
        <v>909</v>
      </c>
      <c r="F225" s="16" t="s">
        <v>69</v>
      </c>
      <c r="G225" s="16" t="s">
        <v>220</v>
      </c>
      <c r="H225" s="16" t="s">
        <v>232</v>
      </c>
      <c r="I225" s="16" t="s">
        <v>910</v>
      </c>
      <c r="J225" s="16" t="s">
        <v>270</v>
      </c>
      <c r="K225" s="16" t="s">
        <v>3256</v>
      </c>
      <c r="L225" s="16" t="s">
        <v>3231</v>
      </c>
    </row>
    <row r="226" spans="1:12" x14ac:dyDescent="0.35">
      <c r="A226" s="16" t="s">
        <v>911</v>
      </c>
      <c r="B226" s="17">
        <v>46258.048136574071</v>
      </c>
      <c r="C226" s="16" t="s">
        <v>241</v>
      </c>
      <c r="D226" s="16" t="s">
        <v>242</v>
      </c>
      <c r="E226" s="16" t="s">
        <v>912</v>
      </c>
      <c r="F226" s="16" t="s">
        <v>237</v>
      </c>
      <c r="G226" s="16" t="s">
        <v>220</v>
      </c>
      <c r="H226" s="16" t="s">
        <v>221</v>
      </c>
      <c r="I226" s="16" t="s">
        <v>913</v>
      </c>
      <c r="J226" s="16" t="s">
        <v>223</v>
      </c>
      <c r="K226" s="16" t="s">
        <v>3244</v>
      </c>
      <c r="L226" s="16" t="s">
        <v>3235</v>
      </c>
    </row>
    <row r="227" spans="1:12" x14ac:dyDescent="0.35">
      <c r="A227" s="16" t="s">
        <v>914</v>
      </c>
      <c r="B227" s="17">
        <v>46065.569861111115</v>
      </c>
      <c r="C227" s="16" t="s">
        <v>301</v>
      </c>
      <c r="D227" s="16" t="s">
        <v>302</v>
      </c>
      <c r="E227" s="16" t="s">
        <v>915</v>
      </c>
      <c r="F227" s="16" t="s">
        <v>219</v>
      </c>
      <c r="G227" s="16" t="s">
        <v>244</v>
      </c>
      <c r="H227" s="16" t="s">
        <v>232</v>
      </c>
      <c r="I227" s="16" t="s">
        <v>916</v>
      </c>
      <c r="J227" s="16" t="s">
        <v>249</v>
      </c>
      <c r="K227" s="16" t="s">
        <v>3236</v>
      </c>
      <c r="L227" s="16" t="s">
        <v>3230</v>
      </c>
    </row>
    <row r="228" spans="1:12" x14ac:dyDescent="0.35">
      <c r="A228" s="16" t="s">
        <v>917</v>
      </c>
      <c r="B228" s="17">
        <v>46096.802268518521</v>
      </c>
      <c r="C228" s="16" t="s">
        <v>216</v>
      </c>
      <c r="D228" s="16" t="s">
        <v>217</v>
      </c>
      <c r="E228" s="16" t="s">
        <v>918</v>
      </c>
      <c r="F228" s="16" t="s">
        <v>219</v>
      </c>
      <c r="G228" s="16" t="s">
        <v>220</v>
      </c>
      <c r="H228" s="16" t="s">
        <v>277</v>
      </c>
      <c r="I228" s="16" t="s">
        <v>919</v>
      </c>
      <c r="J228" s="16" t="s">
        <v>249</v>
      </c>
      <c r="K228" s="16" t="s">
        <v>3255</v>
      </c>
      <c r="L228" s="16" t="s">
        <v>3235</v>
      </c>
    </row>
    <row r="229" spans="1:12" x14ac:dyDescent="0.35">
      <c r="A229" s="16" t="s">
        <v>920</v>
      </c>
      <c r="B229" s="17">
        <v>46381.575370370374</v>
      </c>
      <c r="C229" s="16" t="s">
        <v>260</v>
      </c>
      <c r="D229" s="16" t="s">
        <v>261</v>
      </c>
      <c r="E229" s="16" t="s">
        <v>921</v>
      </c>
      <c r="F229" s="16" t="s">
        <v>69</v>
      </c>
      <c r="G229" s="16" t="s">
        <v>231</v>
      </c>
      <c r="H229" s="16" t="s">
        <v>273</v>
      </c>
      <c r="I229" s="16" t="s">
        <v>922</v>
      </c>
      <c r="J229" s="16" t="s">
        <v>249</v>
      </c>
      <c r="K229" s="16" t="s">
        <v>3248</v>
      </c>
      <c r="L229" s="16" t="s">
        <v>3231</v>
      </c>
    </row>
    <row r="230" spans="1:12" x14ac:dyDescent="0.35">
      <c r="A230" s="16" t="s">
        <v>923</v>
      </c>
      <c r="B230" s="17">
        <v>46150.932858796295</v>
      </c>
      <c r="C230" s="16" t="s">
        <v>228</v>
      </c>
      <c r="D230" s="16" t="s">
        <v>229</v>
      </c>
      <c r="E230" s="16" t="s">
        <v>924</v>
      </c>
      <c r="F230" s="16" t="s">
        <v>69</v>
      </c>
      <c r="G230" s="16" t="s">
        <v>220</v>
      </c>
      <c r="H230" s="16" t="s">
        <v>221</v>
      </c>
      <c r="I230" s="16" t="s">
        <v>925</v>
      </c>
      <c r="J230" s="16" t="s">
        <v>270</v>
      </c>
      <c r="K230" s="16" t="s">
        <v>3243</v>
      </c>
      <c r="L230" s="16" t="s">
        <v>3234</v>
      </c>
    </row>
    <row r="231" spans="1:12" x14ac:dyDescent="0.35">
      <c r="A231" s="16" t="s">
        <v>926</v>
      </c>
      <c r="B231" s="17">
        <v>45793.067106481481</v>
      </c>
      <c r="C231" s="16" t="s">
        <v>260</v>
      </c>
      <c r="D231" s="16" t="s">
        <v>261</v>
      </c>
      <c r="E231" s="16" t="s">
        <v>927</v>
      </c>
      <c r="F231" s="16" t="s">
        <v>237</v>
      </c>
      <c r="G231" s="16" t="s">
        <v>220</v>
      </c>
      <c r="H231" s="16" t="s">
        <v>273</v>
      </c>
      <c r="I231" s="16" t="s">
        <v>928</v>
      </c>
      <c r="J231" s="16" t="s">
        <v>270</v>
      </c>
      <c r="K231" s="16" t="s">
        <v>3244</v>
      </c>
      <c r="L231" s="16" t="s">
        <v>3235</v>
      </c>
    </row>
    <row r="232" spans="1:12" x14ac:dyDescent="0.35">
      <c r="A232" s="16" t="s">
        <v>929</v>
      </c>
      <c r="B232" s="17">
        <v>45771.873969907407</v>
      </c>
      <c r="C232" s="16" t="s">
        <v>228</v>
      </c>
      <c r="D232" s="16" t="s">
        <v>229</v>
      </c>
      <c r="E232" s="16" t="s">
        <v>930</v>
      </c>
      <c r="F232" s="16" t="s">
        <v>219</v>
      </c>
      <c r="G232" s="16" t="s">
        <v>244</v>
      </c>
      <c r="H232" s="16" t="s">
        <v>273</v>
      </c>
      <c r="I232" s="16" t="s">
        <v>931</v>
      </c>
      <c r="J232" s="16" t="s">
        <v>249</v>
      </c>
      <c r="K232" s="16" t="s">
        <v>3254</v>
      </c>
      <c r="L232" s="16" t="s">
        <v>3232</v>
      </c>
    </row>
    <row r="233" spans="1:12" x14ac:dyDescent="0.35">
      <c r="A233" s="16" t="s">
        <v>932</v>
      </c>
      <c r="B233" s="17">
        <v>46138.455868055556</v>
      </c>
      <c r="C233" s="16" t="s">
        <v>228</v>
      </c>
      <c r="D233" s="16" t="s">
        <v>229</v>
      </c>
      <c r="E233" s="16" t="s">
        <v>933</v>
      </c>
      <c r="F233" s="16" t="s">
        <v>69</v>
      </c>
      <c r="G233" s="16" t="s">
        <v>244</v>
      </c>
      <c r="H233" s="16" t="s">
        <v>273</v>
      </c>
      <c r="I233" s="16" t="s">
        <v>934</v>
      </c>
      <c r="J233" s="16" t="s">
        <v>223</v>
      </c>
      <c r="K233" s="16" t="s">
        <v>3243</v>
      </c>
      <c r="L233" s="16" t="s">
        <v>3234</v>
      </c>
    </row>
    <row r="234" spans="1:12" x14ac:dyDescent="0.35">
      <c r="A234" s="16" t="s">
        <v>935</v>
      </c>
      <c r="B234" s="17">
        <v>45997.975925925923</v>
      </c>
      <c r="C234" s="16" t="s">
        <v>241</v>
      </c>
      <c r="D234" s="16" t="s">
        <v>242</v>
      </c>
      <c r="E234" s="16" t="s">
        <v>936</v>
      </c>
      <c r="F234" s="16" t="s">
        <v>237</v>
      </c>
      <c r="G234" s="16" t="s">
        <v>244</v>
      </c>
      <c r="H234" s="16" t="s">
        <v>232</v>
      </c>
      <c r="I234" s="16" t="s">
        <v>937</v>
      </c>
      <c r="J234" s="16" t="s">
        <v>223</v>
      </c>
      <c r="K234" s="16" t="s">
        <v>3251</v>
      </c>
      <c r="L234" s="16" t="s">
        <v>3231</v>
      </c>
    </row>
    <row r="235" spans="1:12" x14ac:dyDescent="0.35">
      <c r="A235" s="16" t="s">
        <v>938</v>
      </c>
      <c r="B235" s="17">
        <v>46062.278946759259</v>
      </c>
      <c r="C235" s="16" t="s">
        <v>260</v>
      </c>
      <c r="D235" s="16" t="s">
        <v>261</v>
      </c>
      <c r="E235" s="16" t="s">
        <v>939</v>
      </c>
      <c r="F235" s="16" t="s">
        <v>237</v>
      </c>
      <c r="G235" s="16" t="s">
        <v>220</v>
      </c>
      <c r="H235" s="16" t="s">
        <v>277</v>
      </c>
      <c r="I235" s="16" t="s">
        <v>940</v>
      </c>
      <c r="J235" s="16" t="s">
        <v>234</v>
      </c>
      <c r="K235" s="16" t="s">
        <v>3248</v>
      </c>
      <c r="L235" s="16" t="s">
        <v>3231</v>
      </c>
    </row>
    <row r="236" spans="1:12" x14ac:dyDescent="0.35">
      <c r="A236" s="16" t="s">
        <v>941</v>
      </c>
      <c r="B236" s="17">
        <v>46137.631851851853</v>
      </c>
      <c r="C236" s="16" t="s">
        <v>260</v>
      </c>
      <c r="D236" s="16" t="s">
        <v>261</v>
      </c>
      <c r="E236" s="16" t="s">
        <v>942</v>
      </c>
      <c r="F236" s="16" t="s">
        <v>219</v>
      </c>
      <c r="G236" s="16" t="s">
        <v>220</v>
      </c>
      <c r="H236" s="16" t="s">
        <v>221</v>
      </c>
      <c r="I236" s="16" t="s">
        <v>943</v>
      </c>
      <c r="J236" s="16" t="s">
        <v>249</v>
      </c>
      <c r="K236" s="16" t="s">
        <v>3251</v>
      </c>
      <c r="L236" s="16" t="s">
        <v>3231</v>
      </c>
    </row>
    <row r="237" spans="1:12" x14ac:dyDescent="0.35">
      <c r="A237" s="16" t="s">
        <v>944</v>
      </c>
      <c r="B237" s="17">
        <v>46213.562928240739</v>
      </c>
      <c r="C237" s="16" t="s">
        <v>228</v>
      </c>
      <c r="D237" s="16" t="s">
        <v>229</v>
      </c>
      <c r="E237" s="16" t="s">
        <v>945</v>
      </c>
      <c r="F237" s="16" t="s">
        <v>219</v>
      </c>
      <c r="G237" s="16" t="s">
        <v>244</v>
      </c>
      <c r="H237" s="16" t="s">
        <v>238</v>
      </c>
      <c r="I237" s="16" t="s">
        <v>946</v>
      </c>
      <c r="J237" s="16" t="s">
        <v>249</v>
      </c>
      <c r="K237" s="16" t="s">
        <v>3256</v>
      </c>
      <c r="L237" s="16" t="s">
        <v>3231</v>
      </c>
    </row>
    <row r="238" spans="1:12" x14ac:dyDescent="0.35">
      <c r="A238" s="16" t="s">
        <v>947</v>
      </c>
      <c r="B238" s="17">
        <v>45372.110405092593</v>
      </c>
      <c r="C238" s="16" t="s">
        <v>260</v>
      </c>
      <c r="D238" s="16" t="s">
        <v>261</v>
      </c>
      <c r="E238" s="16" t="s">
        <v>948</v>
      </c>
      <c r="F238" s="16" t="s">
        <v>219</v>
      </c>
      <c r="G238" s="16" t="s">
        <v>244</v>
      </c>
      <c r="H238" s="16" t="s">
        <v>273</v>
      </c>
      <c r="I238" s="16" t="s">
        <v>949</v>
      </c>
      <c r="J238" s="16" t="s">
        <v>234</v>
      </c>
      <c r="K238" s="16" t="s">
        <v>3256</v>
      </c>
      <c r="L238" s="16" t="s">
        <v>3231</v>
      </c>
    </row>
    <row r="239" spans="1:12" x14ac:dyDescent="0.35">
      <c r="A239" s="16" t="s">
        <v>950</v>
      </c>
      <c r="B239" s="17">
        <v>45725.288263888891</v>
      </c>
      <c r="C239" s="16" t="s">
        <v>301</v>
      </c>
      <c r="D239" s="16" t="s">
        <v>302</v>
      </c>
      <c r="E239" s="16" t="s">
        <v>951</v>
      </c>
      <c r="F239" s="16" t="s">
        <v>219</v>
      </c>
      <c r="G239" s="16" t="s">
        <v>231</v>
      </c>
      <c r="H239" s="16" t="s">
        <v>238</v>
      </c>
      <c r="I239" s="16" t="s">
        <v>952</v>
      </c>
      <c r="J239" s="16" t="s">
        <v>234</v>
      </c>
      <c r="K239" s="16" t="s">
        <v>3251</v>
      </c>
      <c r="L239" s="16" t="s">
        <v>3231</v>
      </c>
    </row>
    <row r="240" spans="1:12" x14ac:dyDescent="0.35">
      <c r="A240" s="16" t="s">
        <v>953</v>
      </c>
      <c r="B240" s="17">
        <v>45950.429409722223</v>
      </c>
      <c r="C240" s="16" t="s">
        <v>260</v>
      </c>
      <c r="D240" s="16" t="s">
        <v>261</v>
      </c>
      <c r="E240" s="16" t="s">
        <v>954</v>
      </c>
      <c r="F240" s="16" t="s">
        <v>237</v>
      </c>
      <c r="G240" s="16" t="s">
        <v>244</v>
      </c>
      <c r="H240" s="16" t="s">
        <v>277</v>
      </c>
      <c r="I240" s="16" t="s">
        <v>955</v>
      </c>
      <c r="J240" s="16" t="s">
        <v>249</v>
      </c>
      <c r="K240" s="16" t="s">
        <v>3242</v>
      </c>
      <c r="L240" s="16" t="s">
        <v>3232</v>
      </c>
    </row>
    <row r="241" spans="1:12" x14ac:dyDescent="0.35">
      <c r="A241" s="16" t="s">
        <v>956</v>
      </c>
      <c r="B241" s="17">
        <v>46246.149583333332</v>
      </c>
      <c r="C241" s="16" t="s">
        <v>301</v>
      </c>
      <c r="D241" s="16" t="s">
        <v>302</v>
      </c>
      <c r="E241" s="16" t="s">
        <v>957</v>
      </c>
      <c r="F241" s="16" t="s">
        <v>237</v>
      </c>
      <c r="G241" s="16" t="s">
        <v>220</v>
      </c>
      <c r="H241" s="16" t="s">
        <v>273</v>
      </c>
      <c r="I241" s="16" t="s">
        <v>958</v>
      </c>
      <c r="J241" s="16" t="s">
        <v>223</v>
      </c>
      <c r="K241" s="16" t="s">
        <v>3257</v>
      </c>
      <c r="L241" s="16" t="s">
        <v>3234</v>
      </c>
    </row>
    <row r="242" spans="1:12" x14ac:dyDescent="0.35">
      <c r="A242" s="16" t="s">
        <v>959</v>
      </c>
      <c r="B242" s="17">
        <v>45590.024594907409</v>
      </c>
      <c r="C242" s="16" t="s">
        <v>216</v>
      </c>
      <c r="D242" s="16" t="s">
        <v>217</v>
      </c>
      <c r="E242" s="16" t="s">
        <v>960</v>
      </c>
      <c r="F242" s="16" t="s">
        <v>219</v>
      </c>
      <c r="G242" s="16" t="s">
        <v>244</v>
      </c>
      <c r="H242" s="16" t="s">
        <v>273</v>
      </c>
      <c r="I242" s="16" t="s">
        <v>961</v>
      </c>
      <c r="J242" s="16" t="s">
        <v>234</v>
      </c>
      <c r="K242" s="16" t="s">
        <v>3245</v>
      </c>
      <c r="L242" s="16" t="s">
        <v>3232</v>
      </c>
    </row>
    <row r="243" spans="1:12" x14ac:dyDescent="0.35">
      <c r="A243" s="16" t="s">
        <v>962</v>
      </c>
      <c r="B243" s="17">
        <v>46069.864386574074</v>
      </c>
      <c r="C243" s="16" t="s">
        <v>228</v>
      </c>
      <c r="D243" s="16" t="s">
        <v>229</v>
      </c>
      <c r="E243" s="16" t="s">
        <v>963</v>
      </c>
      <c r="F243" s="16" t="s">
        <v>237</v>
      </c>
      <c r="G243" s="16" t="s">
        <v>244</v>
      </c>
      <c r="H243" s="16" t="s">
        <v>238</v>
      </c>
      <c r="I243" s="16" t="s">
        <v>964</v>
      </c>
      <c r="J243" s="16" t="s">
        <v>223</v>
      </c>
      <c r="K243" s="16" t="s">
        <v>3258</v>
      </c>
      <c r="L243" s="16" t="s">
        <v>3235</v>
      </c>
    </row>
    <row r="244" spans="1:12" x14ac:dyDescent="0.35">
      <c r="A244" s="16" t="s">
        <v>965</v>
      </c>
      <c r="B244" s="17">
        <v>46013.25677083333</v>
      </c>
      <c r="C244" s="16" t="s">
        <v>260</v>
      </c>
      <c r="D244" s="16" t="s">
        <v>261</v>
      </c>
      <c r="E244" s="16" t="s">
        <v>966</v>
      </c>
      <c r="F244" s="16" t="s">
        <v>219</v>
      </c>
      <c r="G244" s="16" t="s">
        <v>244</v>
      </c>
      <c r="H244" s="16" t="s">
        <v>232</v>
      </c>
      <c r="I244" s="16" t="s">
        <v>967</v>
      </c>
      <c r="J244" s="16" t="s">
        <v>270</v>
      </c>
      <c r="K244" s="16" t="s">
        <v>3247</v>
      </c>
      <c r="L244" s="16" t="s">
        <v>3234</v>
      </c>
    </row>
    <row r="245" spans="1:12" x14ac:dyDescent="0.35">
      <c r="A245" s="16" t="s">
        <v>968</v>
      </c>
      <c r="B245" s="17">
        <v>45391.009675925925</v>
      </c>
      <c r="C245" s="16" t="s">
        <v>241</v>
      </c>
      <c r="D245" s="16" t="s">
        <v>242</v>
      </c>
      <c r="E245" s="16" t="s">
        <v>969</v>
      </c>
      <c r="F245" s="16" t="s">
        <v>69</v>
      </c>
      <c r="G245" s="16" t="s">
        <v>244</v>
      </c>
      <c r="H245" s="16" t="s">
        <v>221</v>
      </c>
      <c r="I245" s="16" t="s">
        <v>970</v>
      </c>
      <c r="J245" s="16" t="s">
        <v>234</v>
      </c>
      <c r="K245" s="16" t="s">
        <v>3237</v>
      </c>
      <c r="L245" s="16" t="s">
        <v>3230</v>
      </c>
    </row>
    <row r="246" spans="1:12" x14ac:dyDescent="0.35">
      <c r="A246" s="16" t="s">
        <v>971</v>
      </c>
      <c r="B246" s="17">
        <v>46225.566157407404</v>
      </c>
      <c r="C246" s="16" t="s">
        <v>216</v>
      </c>
      <c r="D246" s="16" t="s">
        <v>217</v>
      </c>
      <c r="E246" s="16" t="s">
        <v>972</v>
      </c>
      <c r="F246" s="16" t="s">
        <v>219</v>
      </c>
      <c r="G246" s="16" t="s">
        <v>244</v>
      </c>
      <c r="H246" s="16" t="s">
        <v>277</v>
      </c>
      <c r="I246" s="16" t="s">
        <v>973</v>
      </c>
      <c r="J246" s="16" t="s">
        <v>223</v>
      </c>
      <c r="K246" s="16" t="s">
        <v>3241</v>
      </c>
      <c r="L246" s="16" t="s">
        <v>3231</v>
      </c>
    </row>
    <row r="247" spans="1:12" x14ac:dyDescent="0.35">
      <c r="A247" s="16" t="s">
        <v>974</v>
      </c>
      <c r="B247" s="17">
        <v>46134.017974537041</v>
      </c>
      <c r="C247" s="16" t="s">
        <v>216</v>
      </c>
      <c r="D247" s="16" t="s">
        <v>217</v>
      </c>
      <c r="E247" s="16" t="s">
        <v>975</v>
      </c>
      <c r="F247" s="16" t="s">
        <v>219</v>
      </c>
      <c r="G247" s="16" t="s">
        <v>244</v>
      </c>
      <c r="H247" s="16" t="s">
        <v>221</v>
      </c>
      <c r="I247" s="16" t="s">
        <v>976</v>
      </c>
      <c r="J247" s="16" t="s">
        <v>249</v>
      </c>
      <c r="K247" s="16" t="s">
        <v>3247</v>
      </c>
      <c r="L247" s="16" t="s">
        <v>3234</v>
      </c>
    </row>
    <row r="248" spans="1:12" x14ac:dyDescent="0.35">
      <c r="A248" s="16" t="s">
        <v>977</v>
      </c>
      <c r="B248" s="17">
        <v>45659.16233796296</v>
      </c>
      <c r="C248" s="16" t="s">
        <v>216</v>
      </c>
      <c r="D248" s="16" t="s">
        <v>217</v>
      </c>
      <c r="E248" s="16" t="s">
        <v>978</v>
      </c>
      <c r="F248" s="16" t="s">
        <v>219</v>
      </c>
      <c r="G248" s="16" t="s">
        <v>220</v>
      </c>
      <c r="H248" s="16" t="s">
        <v>273</v>
      </c>
      <c r="I248" s="16" t="s">
        <v>979</v>
      </c>
      <c r="J248" s="16" t="s">
        <v>249</v>
      </c>
      <c r="K248" s="16" t="s">
        <v>3258</v>
      </c>
      <c r="L248" s="16" t="s">
        <v>3235</v>
      </c>
    </row>
    <row r="249" spans="1:12" x14ac:dyDescent="0.35">
      <c r="A249" s="16" t="s">
        <v>980</v>
      </c>
      <c r="B249" s="17">
        <v>45453.565925925926</v>
      </c>
      <c r="C249" s="16" t="s">
        <v>301</v>
      </c>
      <c r="D249" s="16" t="s">
        <v>302</v>
      </c>
      <c r="E249" s="16" t="s">
        <v>981</v>
      </c>
      <c r="F249" s="16" t="s">
        <v>237</v>
      </c>
      <c r="G249" s="16" t="s">
        <v>244</v>
      </c>
      <c r="H249" s="16" t="s">
        <v>238</v>
      </c>
      <c r="I249" s="16" t="s">
        <v>982</v>
      </c>
      <c r="J249" s="16" t="s">
        <v>234</v>
      </c>
      <c r="K249" s="16" t="s">
        <v>3257</v>
      </c>
      <c r="L249" s="16" t="s">
        <v>3234</v>
      </c>
    </row>
    <row r="250" spans="1:12" x14ac:dyDescent="0.35">
      <c r="A250" s="16" t="s">
        <v>983</v>
      </c>
      <c r="B250" s="17">
        <v>45483.614814814813</v>
      </c>
      <c r="C250" s="16" t="s">
        <v>301</v>
      </c>
      <c r="D250" s="16" t="s">
        <v>302</v>
      </c>
      <c r="E250" s="16" t="s">
        <v>984</v>
      </c>
      <c r="F250" s="16" t="s">
        <v>237</v>
      </c>
      <c r="G250" s="16" t="s">
        <v>244</v>
      </c>
      <c r="H250" s="16" t="s">
        <v>221</v>
      </c>
      <c r="I250" s="16" t="s">
        <v>985</v>
      </c>
      <c r="J250" s="16" t="s">
        <v>270</v>
      </c>
      <c r="K250" s="16" t="s">
        <v>3246</v>
      </c>
      <c r="L250" s="16" t="s">
        <v>3234</v>
      </c>
    </row>
    <row r="251" spans="1:12" x14ac:dyDescent="0.35">
      <c r="A251" s="16" t="s">
        <v>986</v>
      </c>
      <c r="B251" s="17">
        <v>46180.978344907409</v>
      </c>
      <c r="C251" s="16" t="s">
        <v>228</v>
      </c>
      <c r="D251" s="16" t="s">
        <v>229</v>
      </c>
      <c r="E251" s="16" t="s">
        <v>987</v>
      </c>
      <c r="F251" s="16" t="s">
        <v>219</v>
      </c>
      <c r="G251" s="16" t="s">
        <v>220</v>
      </c>
      <c r="H251" s="16" t="s">
        <v>221</v>
      </c>
      <c r="I251" s="16" t="s">
        <v>988</v>
      </c>
      <c r="J251" s="16" t="s">
        <v>234</v>
      </c>
      <c r="K251" s="16" t="s">
        <v>3239</v>
      </c>
      <c r="L251" s="16" t="s">
        <v>3235</v>
      </c>
    </row>
    <row r="252" spans="1:12" x14ac:dyDescent="0.35">
      <c r="A252" s="16" t="s">
        <v>989</v>
      </c>
      <c r="B252" s="17">
        <v>45847.070625</v>
      </c>
      <c r="C252" s="16" t="s">
        <v>228</v>
      </c>
      <c r="D252" s="16" t="s">
        <v>229</v>
      </c>
      <c r="E252" s="16" t="s">
        <v>990</v>
      </c>
      <c r="F252" s="16" t="s">
        <v>219</v>
      </c>
      <c r="G252" s="16" t="s">
        <v>231</v>
      </c>
      <c r="H252" s="16" t="s">
        <v>273</v>
      </c>
      <c r="I252" s="16" t="s">
        <v>991</v>
      </c>
      <c r="J252" s="16" t="s">
        <v>270</v>
      </c>
      <c r="K252" s="16" t="s">
        <v>3252</v>
      </c>
      <c r="L252" s="16" t="s">
        <v>3232</v>
      </c>
    </row>
    <row r="253" spans="1:12" x14ac:dyDescent="0.35">
      <c r="A253" s="16" t="s">
        <v>992</v>
      </c>
      <c r="B253" s="17">
        <v>45716.890543981484</v>
      </c>
      <c r="C253" s="16" t="s">
        <v>228</v>
      </c>
      <c r="D253" s="16" t="s">
        <v>229</v>
      </c>
      <c r="E253" s="16" t="s">
        <v>993</v>
      </c>
      <c r="F253" s="16" t="s">
        <v>219</v>
      </c>
      <c r="G253" s="16" t="s">
        <v>231</v>
      </c>
      <c r="H253" s="16" t="s">
        <v>238</v>
      </c>
      <c r="I253" s="16" t="s">
        <v>994</v>
      </c>
      <c r="J253" s="16" t="s">
        <v>234</v>
      </c>
      <c r="K253" s="16" t="s">
        <v>3251</v>
      </c>
      <c r="L253" s="16" t="s">
        <v>3231</v>
      </c>
    </row>
    <row r="254" spans="1:12" x14ac:dyDescent="0.35">
      <c r="A254" s="16" t="s">
        <v>995</v>
      </c>
      <c r="B254" s="17">
        <v>46088.8200462963</v>
      </c>
      <c r="C254" s="16" t="s">
        <v>241</v>
      </c>
      <c r="D254" s="16" t="s">
        <v>242</v>
      </c>
      <c r="E254" s="16" t="s">
        <v>996</v>
      </c>
      <c r="F254" s="16" t="s">
        <v>237</v>
      </c>
      <c r="G254" s="16" t="s">
        <v>244</v>
      </c>
      <c r="H254" s="16" t="s">
        <v>277</v>
      </c>
      <c r="I254" s="16" t="s">
        <v>997</v>
      </c>
      <c r="J254" s="16" t="s">
        <v>270</v>
      </c>
      <c r="K254" s="16" t="s">
        <v>3258</v>
      </c>
      <c r="L254" s="16" t="s">
        <v>3235</v>
      </c>
    </row>
    <row r="255" spans="1:12" x14ac:dyDescent="0.35">
      <c r="A255" s="16" t="s">
        <v>998</v>
      </c>
      <c r="B255" s="17">
        <v>45492.663078703707</v>
      </c>
      <c r="C255" s="16" t="s">
        <v>241</v>
      </c>
      <c r="D255" s="16" t="s">
        <v>242</v>
      </c>
      <c r="E255" s="16" t="s">
        <v>999</v>
      </c>
      <c r="F255" s="16" t="s">
        <v>69</v>
      </c>
      <c r="G255" s="16" t="s">
        <v>231</v>
      </c>
      <c r="H255" s="16" t="s">
        <v>238</v>
      </c>
      <c r="I255" s="16" t="s">
        <v>1000</v>
      </c>
      <c r="J255" s="16" t="s">
        <v>270</v>
      </c>
      <c r="K255" s="16" t="s">
        <v>3238</v>
      </c>
      <c r="L255" s="16" t="s">
        <v>3230</v>
      </c>
    </row>
    <row r="256" spans="1:12" x14ac:dyDescent="0.35">
      <c r="A256" s="16" t="s">
        <v>1001</v>
      </c>
      <c r="B256" s="17">
        <v>45759.539768518516</v>
      </c>
      <c r="C256" s="16" t="s">
        <v>301</v>
      </c>
      <c r="D256" s="16" t="s">
        <v>302</v>
      </c>
      <c r="E256" s="16" t="s">
        <v>1002</v>
      </c>
      <c r="F256" s="16" t="s">
        <v>237</v>
      </c>
      <c r="G256" s="16" t="s">
        <v>231</v>
      </c>
      <c r="H256" s="16" t="s">
        <v>232</v>
      </c>
      <c r="I256" s="16" t="s">
        <v>1003</v>
      </c>
      <c r="J256" s="16" t="s">
        <v>223</v>
      </c>
      <c r="K256" s="16" t="s">
        <v>3241</v>
      </c>
      <c r="L256" s="16" t="s">
        <v>3231</v>
      </c>
    </row>
    <row r="257" spans="1:12" x14ac:dyDescent="0.35">
      <c r="A257" s="16" t="s">
        <v>1004</v>
      </c>
      <c r="B257" s="17">
        <v>45796.111504629633</v>
      </c>
      <c r="C257" s="16" t="s">
        <v>216</v>
      </c>
      <c r="D257" s="16" t="s">
        <v>217</v>
      </c>
      <c r="E257" s="16" t="s">
        <v>1005</v>
      </c>
      <c r="F257" s="16" t="s">
        <v>237</v>
      </c>
      <c r="G257" s="16" t="s">
        <v>220</v>
      </c>
      <c r="H257" s="16" t="s">
        <v>273</v>
      </c>
      <c r="I257" s="16" t="s">
        <v>1006</v>
      </c>
      <c r="J257" s="16" t="s">
        <v>234</v>
      </c>
      <c r="K257" s="16" t="s">
        <v>3242</v>
      </c>
      <c r="L257" s="16" t="s">
        <v>3232</v>
      </c>
    </row>
    <row r="258" spans="1:12" x14ac:dyDescent="0.35">
      <c r="A258" s="16" t="s">
        <v>1007</v>
      </c>
      <c r="B258" s="17">
        <v>45510.138831018521</v>
      </c>
      <c r="C258" s="16" t="s">
        <v>260</v>
      </c>
      <c r="D258" s="16" t="s">
        <v>261</v>
      </c>
      <c r="E258" s="16" t="s">
        <v>1008</v>
      </c>
      <c r="F258" s="16" t="s">
        <v>237</v>
      </c>
      <c r="G258" s="16" t="s">
        <v>231</v>
      </c>
      <c r="H258" s="16" t="s">
        <v>238</v>
      </c>
      <c r="I258" s="16" t="s">
        <v>1009</v>
      </c>
      <c r="J258" s="16" t="s">
        <v>270</v>
      </c>
      <c r="K258" s="16" t="s">
        <v>3229</v>
      </c>
      <c r="L258" s="16" t="s">
        <v>3230</v>
      </c>
    </row>
    <row r="259" spans="1:12" x14ac:dyDescent="0.35">
      <c r="A259" s="16" t="s">
        <v>1010</v>
      </c>
      <c r="B259" s="17">
        <v>46174.680902777778</v>
      </c>
      <c r="C259" s="16" t="s">
        <v>228</v>
      </c>
      <c r="D259" s="16" t="s">
        <v>229</v>
      </c>
      <c r="E259" s="16" t="s">
        <v>1011</v>
      </c>
      <c r="F259" s="16" t="s">
        <v>219</v>
      </c>
      <c r="G259" s="16" t="s">
        <v>244</v>
      </c>
      <c r="H259" s="16" t="s">
        <v>221</v>
      </c>
      <c r="I259" s="16" t="s">
        <v>1012</v>
      </c>
      <c r="J259" s="16" t="s">
        <v>270</v>
      </c>
      <c r="K259" s="16" t="s">
        <v>3249</v>
      </c>
      <c r="L259" s="16" t="s">
        <v>3232</v>
      </c>
    </row>
    <row r="260" spans="1:12" x14ac:dyDescent="0.35">
      <c r="A260" s="16" t="s">
        <v>1013</v>
      </c>
      <c r="B260" s="17">
        <v>45482.905555555553</v>
      </c>
      <c r="C260" s="16" t="s">
        <v>216</v>
      </c>
      <c r="D260" s="16" t="s">
        <v>217</v>
      </c>
      <c r="E260" s="16" t="s">
        <v>1014</v>
      </c>
      <c r="F260" s="16" t="s">
        <v>237</v>
      </c>
      <c r="G260" s="16" t="s">
        <v>231</v>
      </c>
      <c r="H260" s="16" t="s">
        <v>238</v>
      </c>
      <c r="I260" s="16" t="s">
        <v>1015</v>
      </c>
      <c r="J260" s="16" t="s">
        <v>223</v>
      </c>
      <c r="K260" s="16" t="s">
        <v>3259</v>
      </c>
      <c r="L260" s="16" t="s">
        <v>3235</v>
      </c>
    </row>
    <row r="261" spans="1:12" x14ac:dyDescent="0.35">
      <c r="A261" s="16" t="s">
        <v>1016</v>
      </c>
      <c r="B261" s="17">
        <v>45789.867673611108</v>
      </c>
      <c r="C261" s="16" t="s">
        <v>260</v>
      </c>
      <c r="D261" s="16" t="s">
        <v>261</v>
      </c>
      <c r="E261" s="16" t="s">
        <v>1017</v>
      </c>
      <c r="F261" s="16" t="s">
        <v>69</v>
      </c>
      <c r="G261" s="16" t="s">
        <v>244</v>
      </c>
      <c r="H261" s="16" t="s">
        <v>221</v>
      </c>
      <c r="I261" s="16" t="s">
        <v>1018</v>
      </c>
      <c r="J261" s="16" t="s">
        <v>234</v>
      </c>
      <c r="K261" s="16" t="s">
        <v>3257</v>
      </c>
      <c r="L261" s="16" t="s">
        <v>3234</v>
      </c>
    </row>
    <row r="262" spans="1:12" x14ac:dyDescent="0.35">
      <c r="A262" s="16" t="s">
        <v>1019</v>
      </c>
      <c r="B262" s="17">
        <v>46301.221377314818</v>
      </c>
      <c r="C262" s="16" t="s">
        <v>301</v>
      </c>
      <c r="D262" s="16" t="s">
        <v>302</v>
      </c>
      <c r="E262" s="16" t="s">
        <v>1020</v>
      </c>
      <c r="F262" s="16" t="s">
        <v>69</v>
      </c>
      <c r="G262" s="16" t="s">
        <v>231</v>
      </c>
      <c r="H262" s="16" t="s">
        <v>238</v>
      </c>
      <c r="I262" s="16" t="s">
        <v>1021</v>
      </c>
      <c r="J262" s="16" t="s">
        <v>249</v>
      </c>
      <c r="K262" s="16" t="s">
        <v>3255</v>
      </c>
      <c r="L262" s="16" t="s">
        <v>3235</v>
      </c>
    </row>
    <row r="263" spans="1:12" x14ac:dyDescent="0.35">
      <c r="A263" s="16" t="s">
        <v>1022</v>
      </c>
      <c r="B263" s="17">
        <v>45807.374085648145</v>
      </c>
      <c r="C263" s="16" t="s">
        <v>260</v>
      </c>
      <c r="D263" s="16" t="s">
        <v>261</v>
      </c>
      <c r="E263" s="16" t="s">
        <v>1023</v>
      </c>
      <c r="F263" s="16" t="s">
        <v>237</v>
      </c>
      <c r="G263" s="16" t="s">
        <v>244</v>
      </c>
      <c r="H263" s="16" t="s">
        <v>221</v>
      </c>
      <c r="I263" s="16" t="s">
        <v>1024</v>
      </c>
      <c r="J263" s="16" t="s">
        <v>270</v>
      </c>
      <c r="K263" s="16" t="s">
        <v>3257</v>
      </c>
      <c r="L263" s="16" t="s">
        <v>3234</v>
      </c>
    </row>
    <row r="264" spans="1:12" x14ac:dyDescent="0.35">
      <c r="A264" s="16" t="s">
        <v>1025</v>
      </c>
      <c r="B264" s="17">
        <v>46102.503981481481</v>
      </c>
      <c r="C264" s="16" t="s">
        <v>228</v>
      </c>
      <c r="D264" s="16" t="s">
        <v>229</v>
      </c>
      <c r="E264" s="16" t="s">
        <v>1026</v>
      </c>
      <c r="F264" s="16" t="s">
        <v>237</v>
      </c>
      <c r="G264" s="16" t="s">
        <v>231</v>
      </c>
      <c r="H264" s="16" t="s">
        <v>238</v>
      </c>
      <c r="I264" s="16" t="s">
        <v>1027</v>
      </c>
      <c r="J264" s="16" t="s">
        <v>223</v>
      </c>
      <c r="K264" s="16" t="s">
        <v>3246</v>
      </c>
      <c r="L264" s="16" t="s">
        <v>3234</v>
      </c>
    </row>
    <row r="265" spans="1:12" x14ac:dyDescent="0.35">
      <c r="A265" s="16" t="s">
        <v>1028</v>
      </c>
      <c r="B265" s="17">
        <v>45948.915092592593</v>
      </c>
      <c r="C265" s="16" t="s">
        <v>241</v>
      </c>
      <c r="D265" s="16" t="s">
        <v>242</v>
      </c>
      <c r="E265" s="16" t="s">
        <v>1029</v>
      </c>
      <c r="F265" s="16" t="s">
        <v>237</v>
      </c>
      <c r="G265" s="16" t="s">
        <v>231</v>
      </c>
      <c r="H265" s="16" t="s">
        <v>277</v>
      </c>
      <c r="I265" s="16" t="s">
        <v>1030</v>
      </c>
      <c r="J265" s="16" t="s">
        <v>249</v>
      </c>
      <c r="K265" s="16" t="s">
        <v>3252</v>
      </c>
      <c r="L265" s="16" t="s">
        <v>3232</v>
      </c>
    </row>
    <row r="266" spans="1:12" x14ac:dyDescent="0.35">
      <c r="A266" s="16" t="s">
        <v>1031</v>
      </c>
      <c r="B266" s="17">
        <v>45788.494375000002</v>
      </c>
      <c r="C266" s="16" t="s">
        <v>301</v>
      </c>
      <c r="D266" s="16" t="s">
        <v>302</v>
      </c>
      <c r="E266" s="16" t="s">
        <v>1032</v>
      </c>
      <c r="F266" s="16" t="s">
        <v>237</v>
      </c>
      <c r="G266" s="16" t="s">
        <v>231</v>
      </c>
      <c r="H266" s="16" t="s">
        <v>232</v>
      </c>
      <c r="I266" s="16" t="s">
        <v>1033</v>
      </c>
      <c r="J266" s="16" t="s">
        <v>234</v>
      </c>
      <c r="K266" s="16" t="s">
        <v>3236</v>
      </c>
      <c r="L266" s="16" t="s">
        <v>3230</v>
      </c>
    </row>
    <row r="267" spans="1:12" x14ac:dyDescent="0.35">
      <c r="A267" s="16" t="s">
        <v>1034</v>
      </c>
      <c r="B267" s="17">
        <v>45347.700289351851</v>
      </c>
      <c r="C267" s="16" t="s">
        <v>241</v>
      </c>
      <c r="D267" s="16" t="s">
        <v>242</v>
      </c>
      <c r="E267" s="16" t="s">
        <v>1035</v>
      </c>
      <c r="F267" s="16" t="s">
        <v>237</v>
      </c>
      <c r="G267" s="16" t="s">
        <v>231</v>
      </c>
      <c r="H267" s="16" t="s">
        <v>273</v>
      </c>
      <c r="I267" s="16" t="s">
        <v>1036</v>
      </c>
      <c r="J267" s="16" t="s">
        <v>223</v>
      </c>
      <c r="K267" s="16" t="s">
        <v>3242</v>
      </c>
      <c r="L267" s="16" t="s">
        <v>3232</v>
      </c>
    </row>
    <row r="268" spans="1:12" x14ac:dyDescent="0.35">
      <c r="A268" s="16" t="s">
        <v>1037</v>
      </c>
      <c r="B268" s="17">
        <v>45809.999212962961</v>
      </c>
      <c r="C268" s="16" t="s">
        <v>228</v>
      </c>
      <c r="D268" s="16" t="s">
        <v>229</v>
      </c>
      <c r="E268" s="16" t="s">
        <v>1038</v>
      </c>
      <c r="F268" s="16" t="s">
        <v>219</v>
      </c>
      <c r="G268" s="16" t="s">
        <v>231</v>
      </c>
      <c r="H268" s="16" t="s">
        <v>238</v>
      </c>
      <c r="I268" s="16" t="s">
        <v>1039</v>
      </c>
      <c r="J268" s="16" t="s">
        <v>223</v>
      </c>
      <c r="K268" s="16" t="s">
        <v>3239</v>
      </c>
      <c r="L268" s="16" t="s">
        <v>3235</v>
      </c>
    </row>
    <row r="269" spans="1:12" x14ac:dyDescent="0.35">
      <c r="A269" s="16" t="s">
        <v>1040</v>
      </c>
      <c r="B269" s="17">
        <v>46112.810648148145</v>
      </c>
      <c r="C269" s="16" t="s">
        <v>241</v>
      </c>
      <c r="D269" s="16" t="s">
        <v>242</v>
      </c>
      <c r="E269" s="16" t="s">
        <v>1041</v>
      </c>
      <c r="F269" s="16" t="s">
        <v>219</v>
      </c>
      <c r="G269" s="16" t="s">
        <v>231</v>
      </c>
      <c r="H269" s="16" t="s">
        <v>232</v>
      </c>
      <c r="I269" s="16" t="s">
        <v>1042</v>
      </c>
      <c r="J269" s="16" t="s">
        <v>249</v>
      </c>
      <c r="K269" s="16" t="s">
        <v>3233</v>
      </c>
      <c r="L269" s="16" t="s">
        <v>3230</v>
      </c>
    </row>
    <row r="270" spans="1:12" x14ac:dyDescent="0.35">
      <c r="A270" s="16" t="s">
        <v>1043</v>
      </c>
      <c r="B270" s="17">
        <v>45515.376574074071</v>
      </c>
      <c r="C270" s="16" t="s">
        <v>241</v>
      </c>
      <c r="D270" s="16" t="s">
        <v>242</v>
      </c>
      <c r="E270" s="16" t="s">
        <v>1044</v>
      </c>
      <c r="F270" s="16" t="s">
        <v>219</v>
      </c>
      <c r="G270" s="16" t="s">
        <v>231</v>
      </c>
      <c r="H270" s="16" t="s">
        <v>273</v>
      </c>
      <c r="I270" s="16" t="s">
        <v>1045</v>
      </c>
      <c r="J270" s="16" t="s">
        <v>270</v>
      </c>
      <c r="K270" s="16" t="s">
        <v>3252</v>
      </c>
      <c r="L270" s="16" t="s">
        <v>3232</v>
      </c>
    </row>
    <row r="271" spans="1:12" x14ac:dyDescent="0.35">
      <c r="A271" s="16" t="s">
        <v>1046</v>
      </c>
      <c r="B271" s="17">
        <v>46173.160717592589</v>
      </c>
      <c r="C271" s="16" t="s">
        <v>241</v>
      </c>
      <c r="D271" s="16" t="s">
        <v>242</v>
      </c>
      <c r="E271" s="16" t="s">
        <v>1047</v>
      </c>
      <c r="F271" s="16" t="s">
        <v>69</v>
      </c>
      <c r="G271" s="16" t="s">
        <v>231</v>
      </c>
      <c r="H271" s="16" t="s">
        <v>232</v>
      </c>
      <c r="I271" s="16" t="s">
        <v>1048</v>
      </c>
      <c r="J271" s="16" t="s">
        <v>234</v>
      </c>
      <c r="K271" s="16" t="s">
        <v>3246</v>
      </c>
      <c r="L271" s="16" t="s">
        <v>3234</v>
      </c>
    </row>
    <row r="272" spans="1:12" x14ac:dyDescent="0.35">
      <c r="A272" s="16" t="s">
        <v>1049</v>
      </c>
      <c r="B272" s="17">
        <v>46240.892905092594</v>
      </c>
      <c r="C272" s="16" t="s">
        <v>260</v>
      </c>
      <c r="D272" s="16" t="s">
        <v>261</v>
      </c>
      <c r="E272" s="16" t="s">
        <v>1050</v>
      </c>
      <c r="F272" s="16" t="s">
        <v>69</v>
      </c>
      <c r="G272" s="16" t="s">
        <v>231</v>
      </c>
      <c r="H272" s="16" t="s">
        <v>238</v>
      </c>
      <c r="I272" s="16" t="s">
        <v>1051</v>
      </c>
      <c r="J272" s="16" t="s">
        <v>270</v>
      </c>
      <c r="K272" s="16" t="s">
        <v>3247</v>
      </c>
      <c r="L272" s="16" t="s">
        <v>3234</v>
      </c>
    </row>
    <row r="273" spans="1:12" x14ac:dyDescent="0.35">
      <c r="A273" s="16" t="s">
        <v>1052</v>
      </c>
      <c r="B273" s="17">
        <v>45529.214918981481</v>
      </c>
      <c r="C273" s="16" t="s">
        <v>301</v>
      </c>
      <c r="D273" s="16" t="s">
        <v>302</v>
      </c>
      <c r="E273" s="16" t="s">
        <v>1053</v>
      </c>
      <c r="F273" s="16" t="s">
        <v>237</v>
      </c>
      <c r="G273" s="16" t="s">
        <v>231</v>
      </c>
      <c r="H273" s="16" t="s">
        <v>232</v>
      </c>
      <c r="I273" s="16" t="s">
        <v>1054</v>
      </c>
      <c r="J273" s="16" t="s">
        <v>223</v>
      </c>
      <c r="K273" s="16" t="s">
        <v>3244</v>
      </c>
      <c r="L273" s="16" t="s">
        <v>3235</v>
      </c>
    </row>
    <row r="274" spans="1:12" x14ac:dyDescent="0.35">
      <c r="A274" s="16" t="s">
        <v>1055</v>
      </c>
      <c r="B274" s="17">
        <v>46189.686377314814</v>
      </c>
      <c r="C274" s="16" t="s">
        <v>301</v>
      </c>
      <c r="D274" s="16" t="s">
        <v>302</v>
      </c>
      <c r="E274" s="16" t="s">
        <v>1056</v>
      </c>
      <c r="F274" s="16" t="s">
        <v>69</v>
      </c>
      <c r="G274" s="16" t="s">
        <v>231</v>
      </c>
      <c r="H274" s="16" t="s">
        <v>232</v>
      </c>
      <c r="I274" s="16" t="s">
        <v>1057</v>
      </c>
      <c r="J274" s="16" t="s">
        <v>270</v>
      </c>
      <c r="K274" s="16" t="s">
        <v>3256</v>
      </c>
      <c r="L274" s="16" t="s">
        <v>3231</v>
      </c>
    </row>
    <row r="275" spans="1:12" x14ac:dyDescent="0.35">
      <c r="A275" s="16" t="s">
        <v>1058</v>
      </c>
      <c r="B275" s="17">
        <v>45628.370023148149</v>
      </c>
      <c r="C275" s="16" t="s">
        <v>216</v>
      </c>
      <c r="D275" s="16" t="s">
        <v>217</v>
      </c>
      <c r="E275" s="16" t="s">
        <v>1059</v>
      </c>
      <c r="F275" s="16" t="s">
        <v>69</v>
      </c>
      <c r="G275" s="16" t="s">
        <v>244</v>
      </c>
      <c r="H275" s="16" t="s">
        <v>238</v>
      </c>
      <c r="I275" s="16" t="s">
        <v>1060</v>
      </c>
      <c r="J275" s="16" t="s">
        <v>223</v>
      </c>
      <c r="K275" s="16" t="s">
        <v>3244</v>
      </c>
      <c r="L275" s="16" t="s">
        <v>3235</v>
      </c>
    </row>
    <row r="276" spans="1:12" x14ac:dyDescent="0.35">
      <c r="A276" s="16" t="s">
        <v>1061</v>
      </c>
      <c r="B276" s="17">
        <v>45669.282754629632</v>
      </c>
      <c r="C276" s="16" t="s">
        <v>260</v>
      </c>
      <c r="D276" s="16" t="s">
        <v>261</v>
      </c>
      <c r="E276" s="16" t="s">
        <v>1062</v>
      </c>
      <c r="F276" s="16" t="s">
        <v>219</v>
      </c>
      <c r="G276" s="16" t="s">
        <v>231</v>
      </c>
      <c r="H276" s="16" t="s">
        <v>277</v>
      </c>
      <c r="I276" s="16" t="s">
        <v>1063</v>
      </c>
      <c r="J276" s="16" t="s">
        <v>234</v>
      </c>
      <c r="K276" s="16" t="s">
        <v>3247</v>
      </c>
      <c r="L276" s="16" t="s">
        <v>3234</v>
      </c>
    </row>
    <row r="277" spans="1:12" x14ac:dyDescent="0.35">
      <c r="A277" s="16" t="s">
        <v>1064</v>
      </c>
      <c r="B277" s="17">
        <v>46088.006747685184</v>
      </c>
      <c r="C277" s="16" t="s">
        <v>260</v>
      </c>
      <c r="D277" s="16" t="s">
        <v>261</v>
      </c>
      <c r="E277" s="16" t="s">
        <v>1065</v>
      </c>
      <c r="F277" s="16" t="s">
        <v>69</v>
      </c>
      <c r="G277" s="16" t="s">
        <v>231</v>
      </c>
      <c r="H277" s="16" t="s">
        <v>273</v>
      </c>
      <c r="I277" s="16" t="s">
        <v>1066</v>
      </c>
      <c r="J277" s="16" t="s">
        <v>270</v>
      </c>
      <c r="K277" s="16" t="s">
        <v>3246</v>
      </c>
      <c r="L277" s="16" t="s">
        <v>3234</v>
      </c>
    </row>
    <row r="278" spans="1:12" x14ac:dyDescent="0.35">
      <c r="A278" s="16" t="s">
        <v>1067</v>
      </c>
      <c r="B278" s="17">
        <v>45959.298958333333</v>
      </c>
      <c r="C278" s="16" t="s">
        <v>241</v>
      </c>
      <c r="D278" s="16" t="s">
        <v>242</v>
      </c>
      <c r="E278" s="16" t="s">
        <v>1068</v>
      </c>
      <c r="F278" s="16" t="s">
        <v>69</v>
      </c>
      <c r="G278" s="16" t="s">
        <v>231</v>
      </c>
      <c r="H278" s="16" t="s">
        <v>277</v>
      </c>
      <c r="I278" s="16" t="s">
        <v>1069</v>
      </c>
      <c r="J278" s="16" t="s">
        <v>249</v>
      </c>
      <c r="K278" s="16" t="s">
        <v>3257</v>
      </c>
      <c r="L278" s="16" t="s">
        <v>3234</v>
      </c>
    </row>
    <row r="279" spans="1:12" x14ac:dyDescent="0.35">
      <c r="A279" s="16" t="s">
        <v>1070</v>
      </c>
      <c r="B279" s="17">
        <v>46095.890497685185</v>
      </c>
      <c r="C279" s="16" t="s">
        <v>241</v>
      </c>
      <c r="D279" s="16" t="s">
        <v>242</v>
      </c>
      <c r="E279" s="16" t="s">
        <v>1071</v>
      </c>
      <c r="F279" s="16" t="s">
        <v>237</v>
      </c>
      <c r="G279" s="16" t="s">
        <v>231</v>
      </c>
      <c r="H279" s="16" t="s">
        <v>232</v>
      </c>
      <c r="I279" s="16" t="s">
        <v>1072</v>
      </c>
      <c r="J279" s="16" t="s">
        <v>234</v>
      </c>
      <c r="K279" s="16" t="s">
        <v>3241</v>
      </c>
      <c r="L279" s="16" t="s">
        <v>3231</v>
      </c>
    </row>
    <row r="280" spans="1:12" x14ac:dyDescent="0.35">
      <c r="A280" s="16" t="s">
        <v>1073</v>
      </c>
      <c r="B280" s="17">
        <v>45465.203194444446</v>
      </c>
      <c r="C280" s="16" t="s">
        <v>301</v>
      </c>
      <c r="D280" s="16" t="s">
        <v>302</v>
      </c>
      <c r="E280" s="16" t="s">
        <v>1074</v>
      </c>
      <c r="F280" s="16" t="s">
        <v>69</v>
      </c>
      <c r="G280" s="16" t="s">
        <v>220</v>
      </c>
      <c r="H280" s="16" t="s">
        <v>273</v>
      </c>
      <c r="I280" s="16" t="s">
        <v>1075</v>
      </c>
      <c r="J280" s="16" t="s">
        <v>234</v>
      </c>
      <c r="K280" s="16" t="s">
        <v>3251</v>
      </c>
      <c r="L280" s="16" t="s">
        <v>3231</v>
      </c>
    </row>
    <row r="281" spans="1:12" x14ac:dyDescent="0.35">
      <c r="A281" s="16" t="s">
        <v>1076</v>
      </c>
      <c r="B281" s="17">
        <v>46087.634479166663</v>
      </c>
      <c r="C281" s="16" t="s">
        <v>301</v>
      </c>
      <c r="D281" s="16" t="s">
        <v>302</v>
      </c>
      <c r="E281" s="16" t="s">
        <v>1077</v>
      </c>
      <c r="F281" s="16" t="s">
        <v>69</v>
      </c>
      <c r="G281" s="16" t="s">
        <v>244</v>
      </c>
      <c r="H281" s="16" t="s">
        <v>277</v>
      </c>
      <c r="I281" s="16" t="s">
        <v>1078</v>
      </c>
      <c r="J281" s="16" t="s">
        <v>234</v>
      </c>
      <c r="K281" s="16" t="s">
        <v>3246</v>
      </c>
      <c r="L281" s="16" t="s">
        <v>3234</v>
      </c>
    </row>
    <row r="282" spans="1:12" x14ac:dyDescent="0.35">
      <c r="A282" s="16" t="s">
        <v>1079</v>
      </c>
      <c r="B282" s="17">
        <v>45633.742800925924</v>
      </c>
      <c r="C282" s="16" t="s">
        <v>260</v>
      </c>
      <c r="D282" s="16" t="s">
        <v>261</v>
      </c>
      <c r="E282" s="16" t="s">
        <v>1080</v>
      </c>
      <c r="F282" s="16" t="s">
        <v>69</v>
      </c>
      <c r="G282" s="16" t="s">
        <v>220</v>
      </c>
      <c r="H282" s="16" t="s">
        <v>273</v>
      </c>
      <c r="I282" s="16" t="s">
        <v>1081</v>
      </c>
      <c r="J282" s="16" t="s">
        <v>270</v>
      </c>
      <c r="K282" s="16" t="s">
        <v>3256</v>
      </c>
      <c r="L282" s="16" t="s">
        <v>3231</v>
      </c>
    </row>
    <row r="283" spans="1:12" x14ac:dyDescent="0.35">
      <c r="A283" s="16" t="s">
        <v>1082</v>
      </c>
      <c r="B283" s="17">
        <v>45571.296006944445</v>
      </c>
      <c r="C283" s="16" t="s">
        <v>301</v>
      </c>
      <c r="D283" s="16" t="s">
        <v>302</v>
      </c>
      <c r="E283" s="16" t="s">
        <v>1083</v>
      </c>
      <c r="F283" s="16" t="s">
        <v>219</v>
      </c>
      <c r="G283" s="16" t="s">
        <v>244</v>
      </c>
      <c r="H283" s="16" t="s">
        <v>221</v>
      </c>
      <c r="I283" s="16" t="s">
        <v>1084</v>
      </c>
      <c r="J283" s="16" t="s">
        <v>223</v>
      </c>
      <c r="K283" s="16" t="s">
        <v>3237</v>
      </c>
      <c r="L283" s="16" t="s">
        <v>3230</v>
      </c>
    </row>
    <row r="284" spans="1:12" x14ac:dyDescent="0.35">
      <c r="A284" s="16" t="s">
        <v>1085</v>
      </c>
      <c r="B284" s="17">
        <v>45634.125405092593</v>
      </c>
      <c r="C284" s="16" t="s">
        <v>260</v>
      </c>
      <c r="D284" s="16" t="s">
        <v>261</v>
      </c>
      <c r="E284" s="16" t="s">
        <v>1086</v>
      </c>
      <c r="F284" s="16" t="s">
        <v>69</v>
      </c>
      <c r="G284" s="16" t="s">
        <v>220</v>
      </c>
      <c r="H284" s="16" t="s">
        <v>232</v>
      </c>
      <c r="I284" s="16" t="s">
        <v>1087</v>
      </c>
      <c r="J284" s="16" t="s">
        <v>249</v>
      </c>
      <c r="K284" s="16" t="s">
        <v>3254</v>
      </c>
      <c r="L284" s="16" t="s">
        <v>3232</v>
      </c>
    </row>
    <row r="285" spans="1:12" x14ac:dyDescent="0.35">
      <c r="A285" s="16" t="s">
        <v>1088</v>
      </c>
      <c r="B285" s="17">
        <v>45636.693773148145</v>
      </c>
      <c r="C285" s="16" t="s">
        <v>228</v>
      </c>
      <c r="D285" s="16" t="s">
        <v>229</v>
      </c>
      <c r="E285" s="16" t="s">
        <v>1089</v>
      </c>
      <c r="F285" s="16" t="s">
        <v>219</v>
      </c>
      <c r="G285" s="16" t="s">
        <v>231</v>
      </c>
      <c r="H285" s="16" t="s">
        <v>273</v>
      </c>
      <c r="I285" s="16" t="s">
        <v>1090</v>
      </c>
      <c r="J285" s="16" t="s">
        <v>270</v>
      </c>
      <c r="K285" s="16" t="s">
        <v>3250</v>
      </c>
      <c r="L285" s="16" t="s">
        <v>3231</v>
      </c>
    </row>
    <row r="286" spans="1:12" x14ac:dyDescent="0.35">
      <c r="A286" s="16" t="s">
        <v>1091</v>
      </c>
      <c r="B286" s="17">
        <v>45377.669560185182</v>
      </c>
      <c r="C286" s="16" t="s">
        <v>301</v>
      </c>
      <c r="D286" s="16" t="s">
        <v>302</v>
      </c>
      <c r="E286" s="16" t="s">
        <v>1092</v>
      </c>
      <c r="F286" s="16" t="s">
        <v>69</v>
      </c>
      <c r="G286" s="16" t="s">
        <v>231</v>
      </c>
      <c r="H286" s="16" t="s">
        <v>273</v>
      </c>
      <c r="I286" s="16" t="s">
        <v>1093</v>
      </c>
      <c r="J286" s="16" t="s">
        <v>234</v>
      </c>
      <c r="K286" s="16" t="s">
        <v>3259</v>
      </c>
      <c r="L286" s="16" t="s">
        <v>3235</v>
      </c>
    </row>
    <row r="287" spans="1:12" x14ac:dyDescent="0.35">
      <c r="A287" s="16" t="s">
        <v>1094</v>
      </c>
      <c r="B287" s="17">
        <v>45830.528796296298</v>
      </c>
      <c r="C287" s="16" t="s">
        <v>301</v>
      </c>
      <c r="D287" s="16" t="s">
        <v>302</v>
      </c>
      <c r="E287" s="16" t="s">
        <v>1095</v>
      </c>
      <c r="F287" s="16" t="s">
        <v>237</v>
      </c>
      <c r="G287" s="16" t="s">
        <v>220</v>
      </c>
      <c r="H287" s="16" t="s">
        <v>221</v>
      </c>
      <c r="I287" s="16" t="s">
        <v>1096</v>
      </c>
      <c r="J287" s="16" t="s">
        <v>249</v>
      </c>
      <c r="K287" s="16" t="s">
        <v>3242</v>
      </c>
      <c r="L287" s="16" t="s">
        <v>3232</v>
      </c>
    </row>
    <row r="288" spans="1:12" x14ac:dyDescent="0.35">
      <c r="A288" s="16" t="s">
        <v>1097</v>
      </c>
      <c r="B288" s="17">
        <v>45577.313449074078</v>
      </c>
      <c r="C288" s="16" t="s">
        <v>241</v>
      </c>
      <c r="D288" s="16" t="s">
        <v>242</v>
      </c>
      <c r="E288" s="16" t="s">
        <v>1098</v>
      </c>
      <c r="F288" s="16" t="s">
        <v>69</v>
      </c>
      <c r="G288" s="16" t="s">
        <v>244</v>
      </c>
      <c r="H288" s="16" t="s">
        <v>232</v>
      </c>
      <c r="I288" s="16" t="s">
        <v>1099</v>
      </c>
      <c r="J288" s="16" t="s">
        <v>249</v>
      </c>
      <c r="K288" s="16" t="s">
        <v>3249</v>
      </c>
      <c r="L288" s="16" t="s">
        <v>3232</v>
      </c>
    </row>
    <row r="289" spans="1:12" x14ac:dyDescent="0.35">
      <c r="A289" s="16" t="s">
        <v>1100</v>
      </c>
      <c r="B289" s="17">
        <v>45954.443935185183</v>
      </c>
      <c r="C289" s="16" t="s">
        <v>241</v>
      </c>
      <c r="D289" s="16" t="s">
        <v>242</v>
      </c>
      <c r="E289" s="16" t="s">
        <v>1101</v>
      </c>
      <c r="F289" s="16" t="s">
        <v>219</v>
      </c>
      <c r="G289" s="16" t="s">
        <v>231</v>
      </c>
      <c r="H289" s="16" t="s">
        <v>273</v>
      </c>
      <c r="I289" s="16" t="s">
        <v>1102</v>
      </c>
      <c r="J289" s="16" t="s">
        <v>270</v>
      </c>
      <c r="K289" s="16" t="s">
        <v>3242</v>
      </c>
      <c r="L289" s="16" t="s">
        <v>3232</v>
      </c>
    </row>
    <row r="290" spans="1:12" x14ac:dyDescent="0.35">
      <c r="A290" s="16" t="s">
        <v>1103</v>
      </c>
      <c r="B290" s="17">
        <v>45859.995011574072</v>
      </c>
      <c r="C290" s="16" t="s">
        <v>228</v>
      </c>
      <c r="D290" s="16" t="s">
        <v>229</v>
      </c>
      <c r="E290" s="16" t="s">
        <v>1104</v>
      </c>
      <c r="F290" s="16" t="s">
        <v>219</v>
      </c>
      <c r="G290" s="16" t="s">
        <v>220</v>
      </c>
      <c r="H290" s="16" t="s">
        <v>232</v>
      </c>
      <c r="I290" s="16" t="s">
        <v>1105</v>
      </c>
      <c r="J290" s="16" t="s">
        <v>249</v>
      </c>
      <c r="K290" s="16" t="s">
        <v>3236</v>
      </c>
      <c r="L290" s="16" t="s">
        <v>3230</v>
      </c>
    </row>
    <row r="291" spans="1:12" x14ac:dyDescent="0.35">
      <c r="A291" s="16" t="s">
        <v>1106</v>
      </c>
      <c r="B291" s="17">
        <v>45583.875972222224</v>
      </c>
      <c r="C291" s="16" t="s">
        <v>228</v>
      </c>
      <c r="D291" s="16" t="s">
        <v>229</v>
      </c>
      <c r="E291" s="16" t="s">
        <v>1107</v>
      </c>
      <c r="F291" s="16" t="s">
        <v>237</v>
      </c>
      <c r="G291" s="16" t="s">
        <v>244</v>
      </c>
      <c r="H291" s="16" t="s">
        <v>232</v>
      </c>
      <c r="I291" s="16" t="s">
        <v>1108</v>
      </c>
      <c r="J291" s="16" t="s">
        <v>223</v>
      </c>
      <c r="K291" s="16" t="s">
        <v>3253</v>
      </c>
      <c r="L291" s="16" t="s">
        <v>3234</v>
      </c>
    </row>
    <row r="292" spans="1:12" x14ac:dyDescent="0.35">
      <c r="A292" s="16" t="s">
        <v>1109</v>
      </c>
      <c r="B292" s="17">
        <v>46347.422071759262</v>
      </c>
      <c r="C292" s="16" t="s">
        <v>216</v>
      </c>
      <c r="D292" s="16" t="s">
        <v>217</v>
      </c>
      <c r="E292" s="16" t="s">
        <v>1110</v>
      </c>
      <c r="F292" s="16" t="s">
        <v>237</v>
      </c>
      <c r="G292" s="16" t="s">
        <v>231</v>
      </c>
      <c r="H292" s="16" t="s">
        <v>221</v>
      </c>
      <c r="I292" s="16" t="s">
        <v>1111</v>
      </c>
      <c r="J292" s="16" t="s">
        <v>270</v>
      </c>
      <c r="K292" s="16" t="s">
        <v>3239</v>
      </c>
      <c r="L292" s="16" t="s">
        <v>3235</v>
      </c>
    </row>
    <row r="293" spans="1:12" x14ac:dyDescent="0.35">
      <c r="A293" s="16" t="s">
        <v>1112</v>
      </c>
      <c r="B293" s="17">
        <v>45421.810740740744</v>
      </c>
      <c r="C293" s="16" t="s">
        <v>216</v>
      </c>
      <c r="D293" s="16" t="s">
        <v>217</v>
      </c>
      <c r="E293" s="16" t="s">
        <v>1113</v>
      </c>
      <c r="F293" s="16" t="s">
        <v>69</v>
      </c>
      <c r="G293" s="16" t="s">
        <v>231</v>
      </c>
      <c r="H293" s="16" t="s">
        <v>232</v>
      </c>
      <c r="I293" s="16" t="s">
        <v>1114</v>
      </c>
      <c r="J293" s="16" t="s">
        <v>249</v>
      </c>
      <c r="K293" s="16" t="s">
        <v>3243</v>
      </c>
      <c r="L293" s="16" t="s">
        <v>3234</v>
      </c>
    </row>
    <row r="294" spans="1:12" x14ac:dyDescent="0.35">
      <c r="A294" s="16" t="s">
        <v>1115</v>
      </c>
      <c r="B294" s="17">
        <v>45559.858854166669</v>
      </c>
      <c r="C294" s="16" t="s">
        <v>301</v>
      </c>
      <c r="D294" s="16" t="s">
        <v>302</v>
      </c>
      <c r="E294" s="16" t="s">
        <v>1116</v>
      </c>
      <c r="F294" s="16" t="s">
        <v>237</v>
      </c>
      <c r="G294" s="16" t="s">
        <v>244</v>
      </c>
      <c r="H294" s="16" t="s">
        <v>238</v>
      </c>
      <c r="I294" s="16" t="s">
        <v>1117</v>
      </c>
      <c r="J294" s="16" t="s">
        <v>270</v>
      </c>
      <c r="K294" s="16" t="s">
        <v>3249</v>
      </c>
      <c r="L294" s="16" t="s">
        <v>3232</v>
      </c>
    </row>
    <row r="295" spans="1:12" x14ac:dyDescent="0.35">
      <c r="A295" s="16" t="s">
        <v>1118</v>
      </c>
      <c r="B295" s="17">
        <v>45615.669444444444</v>
      </c>
      <c r="C295" s="16" t="s">
        <v>260</v>
      </c>
      <c r="D295" s="16" t="s">
        <v>261</v>
      </c>
      <c r="E295" s="16" t="s">
        <v>1119</v>
      </c>
      <c r="F295" s="16" t="s">
        <v>69</v>
      </c>
      <c r="G295" s="16" t="s">
        <v>231</v>
      </c>
      <c r="H295" s="16" t="s">
        <v>221</v>
      </c>
      <c r="I295" s="16" t="s">
        <v>1120</v>
      </c>
      <c r="J295" s="16" t="s">
        <v>234</v>
      </c>
      <c r="K295" s="16" t="s">
        <v>3247</v>
      </c>
      <c r="L295" s="16" t="s">
        <v>3234</v>
      </c>
    </row>
    <row r="296" spans="1:12" x14ac:dyDescent="0.35">
      <c r="A296" s="16" t="s">
        <v>1121</v>
      </c>
      <c r="B296" s="17">
        <v>45483.993032407408</v>
      </c>
      <c r="C296" s="16" t="s">
        <v>301</v>
      </c>
      <c r="D296" s="16" t="s">
        <v>302</v>
      </c>
      <c r="E296" s="16" t="s">
        <v>1122</v>
      </c>
      <c r="F296" s="16" t="s">
        <v>237</v>
      </c>
      <c r="G296" s="16" t="s">
        <v>220</v>
      </c>
      <c r="H296" s="16" t="s">
        <v>277</v>
      </c>
      <c r="I296" s="16" t="s">
        <v>1123</v>
      </c>
      <c r="J296" s="16" t="s">
        <v>234</v>
      </c>
      <c r="K296" s="16" t="s">
        <v>3233</v>
      </c>
      <c r="L296" s="16" t="s">
        <v>3230</v>
      </c>
    </row>
    <row r="297" spans="1:12" x14ac:dyDescent="0.35">
      <c r="A297" s="16" t="s">
        <v>1124</v>
      </c>
      <c r="B297" s="17">
        <v>45771.65115740741</v>
      </c>
      <c r="C297" s="16" t="s">
        <v>216</v>
      </c>
      <c r="D297" s="16" t="s">
        <v>217</v>
      </c>
      <c r="E297" s="16" t="s">
        <v>1125</v>
      </c>
      <c r="F297" s="16" t="s">
        <v>69</v>
      </c>
      <c r="G297" s="16" t="s">
        <v>244</v>
      </c>
      <c r="H297" s="16" t="s">
        <v>232</v>
      </c>
      <c r="I297" s="16" t="s">
        <v>1126</v>
      </c>
      <c r="J297" s="16" t="s">
        <v>234</v>
      </c>
      <c r="K297" s="16" t="s">
        <v>3257</v>
      </c>
      <c r="L297" s="16" t="s">
        <v>3234</v>
      </c>
    </row>
    <row r="298" spans="1:12" x14ac:dyDescent="0.35">
      <c r="A298" s="16" t="s">
        <v>1127</v>
      </c>
      <c r="B298" s="17">
        <v>45755.78800925926</v>
      </c>
      <c r="C298" s="16" t="s">
        <v>260</v>
      </c>
      <c r="D298" s="16" t="s">
        <v>261</v>
      </c>
      <c r="E298" s="16" t="s">
        <v>1128</v>
      </c>
      <c r="F298" s="16" t="s">
        <v>237</v>
      </c>
      <c r="G298" s="16" t="s">
        <v>220</v>
      </c>
      <c r="H298" s="16" t="s">
        <v>221</v>
      </c>
      <c r="I298" s="16" t="s">
        <v>1129</v>
      </c>
      <c r="J298" s="16" t="s">
        <v>249</v>
      </c>
      <c r="K298" s="16" t="s">
        <v>3237</v>
      </c>
      <c r="L298" s="16" t="s">
        <v>3230</v>
      </c>
    </row>
    <row r="299" spans="1:12" x14ac:dyDescent="0.35">
      <c r="A299" s="16" t="s">
        <v>1130</v>
      </c>
      <c r="B299" s="17">
        <v>46270.107442129629</v>
      </c>
      <c r="C299" s="16" t="s">
        <v>216</v>
      </c>
      <c r="D299" s="16" t="s">
        <v>217</v>
      </c>
      <c r="E299" s="16" t="s">
        <v>1131</v>
      </c>
      <c r="F299" s="16" t="s">
        <v>237</v>
      </c>
      <c r="G299" s="16" t="s">
        <v>220</v>
      </c>
      <c r="H299" s="16" t="s">
        <v>232</v>
      </c>
      <c r="I299" s="16" t="s">
        <v>1132</v>
      </c>
      <c r="J299" s="16" t="s">
        <v>249</v>
      </c>
      <c r="K299" s="16" t="s">
        <v>3256</v>
      </c>
      <c r="L299" s="16" t="s">
        <v>3231</v>
      </c>
    </row>
    <row r="300" spans="1:12" x14ac:dyDescent="0.35">
      <c r="A300" s="16" t="s">
        <v>1133</v>
      </c>
      <c r="B300" s="17">
        <v>46075.201979166668</v>
      </c>
      <c r="C300" s="16" t="s">
        <v>301</v>
      </c>
      <c r="D300" s="16" t="s">
        <v>302</v>
      </c>
      <c r="E300" s="16" t="s">
        <v>1134</v>
      </c>
      <c r="F300" s="16" t="s">
        <v>219</v>
      </c>
      <c r="G300" s="16" t="s">
        <v>220</v>
      </c>
      <c r="H300" s="16" t="s">
        <v>238</v>
      </c>
      <c r="I300" s="16" t="s">
        <v>1135</v>
      </c>
      <c r="J300" s="16" t="s">
        <v>270</v>
      </c>
      <c r="K300" s="16" t="s">
        <v>3247</v>
      </c>
      <c r="L300" s="16" t="s">
        <v>3234</v>
      </c>
    </row>
    <row r="301" spans="1:12" x14ac:dyDescent="0.35">
      <c r="A301" s="16" t="s">
        <v>1136</v>
      </c>
      <c r="B301" s="17">
        <v>46011.323206018518</v>
      </c>
      <c r="C301" s="16" t="s">
        <v>241</v>
      </c>
      <c r="D301" s="16" t="s">
        <v>242</v>
      </c>
      <c r="E301" s="16" t="s">
        <v>1137</v>
      </c>
      <c r="F301" s="16" t="s">
        <v>219</v>
      </c>
      <c r="G301" s="16" t="s">
        <v>220</v>
      </c>
      <c r="H301" s="16" t="s">
        <v>277</v>
      </c>
      <c r="I301" s="16" t="s">
        <v>1138</v>
      </c>
      <c r="J301" s="16" t="s">
        <v>223</v>
      </c>
      <c r="K301" s="16" t="s">
        <v>3244</v>
      </c>
      <c r="L301" s="16" t="s">
        <v>3235</v>
      </c>
    </row>
    <row r="302" spans="1:12" x14ac:dyDescent="0.35">
      <c r="A302" s="16" t="s">
        <v>1139</v>
      </c>
      <c r="B302" s="17">
        <v>45578.186828703707</v>
      </c>
      <c r="C302" s="16" t="s">
        <v>228</v>
      </c>
      <c r="D302" s="16" t="s">
        <v>229</v>
      </c>
      <c r="E302" s="16" t="s">
        <v>1140</v>
      </c>
      <c r="F302" s="16" t="s">
        <v>219</v>
      </c>
      <c r="G302" s="16" t="s">
        <v>231</v>
      </c>
      <c r="H302" s="16" t="s">
        <v>221</v>
      </c>
      <c r="I302" s="16" t="s">
        <v>1141</v>
      </c>
      <c r="J302" s="16" t="s">
        <v>249</v>
      </c>
      <c r="K302" s="16" t="s">
        <v>3249</v>
      </c>
      <c r="L302" s="16" t="s">
        <v>3232</v>
      </c>
    </row>
    <row r="303" spans="1:12" x14ac:dyDescent="0.35">
      <c r="A303" s="16" t="s">
        <v>1142</v>
      </c>
      <c r="B303" s="17">
        <v>45464.376469907409</v>
      </c>
      <c r="C303" s="16" t="s">
        <v>228</v>
      </c>
      <c r="D303" s="16" t="s">
        <v>229</v>
      </c>
      <c r="E303" s="16" t="s">
        <v>1143</v>
      </c>
      <c r="F303" s="16" t="s">
        <v>219</v>
      </c>
      <c r="G303" s="16" t="s">
        <v>244</v>
      </c>
      <c r="H303" s="16" t="s">
        <v>277</v>
      </c>
      <c r="I303" s="16" t="s">
        <v>1144</v>
      </c>
      <c r="J303" s="16" t="s">
        <v>270</v>
      </c>
      <c r="K303" s="16" t="s">
        <v>3254</v>
      </c>
      <c r="L303" s="16" t="s">
        <v>3232</v>
      </c>
    </row>
    <row r="304" spans="1:12" x14ac:dyDescent="0.35">
      <c r="A304" s="16" t="s">
        <v>1145</v>
      </c>
      <c r="B304" s="17">
        <v>46335.286180555559</v>
      </c>
      <c r="C304" s="16" t="s">
        <v>301</v>
      </c>
      <c r="D304" s="16" t="s">
        <v>302</v>
      </c>
      <c r="E304" s="16" t="s">
        <v>1146</v>
      </c>
      <c r="F304" s="16" t="s">
        <v>237</v>
      </c>
      <c r="G304" s="16" t="s">
        <v>244</v>
      </c>
      <c r="H304" s="16" t="s">
        <v>277</v>
      </c>
      <c r="I304" s="16" t="s">
        <v>1147</v>
      </c>
      <c r="J304" s="16" t="s">
        <v>223</v>
      </c>
      <c r="K304" s="16" t="s">
        <v>3257</v>
      </c>
      <c r="L304" s="16" t="s">
        <v>3234</v>
      </c>
    </row>
    <row r="305" spans="1:12" x14ac:dyDescent="0.35">
      <c r="A305" s="16" t="s">
        <v>1148</v>
      </c>
      <c r="B305" s="17">
        <v>46315.967986111114</v>
      </c>
      <c r="C305" s="16" t="s">
        <v>260</v>
      </c>
      <c r="D305" s="16" t="s">
        <v>261</v>
      </c>
      <c r="E305" s="16" t="s">
        <v>1149</v>
      </c>
      <c r="F305" s="16" t="s">
        <v>69</v>
      </c>
      <c r="G305" s="16" t="s">
        <v>244</v>
      </c>
      <c r="H305" s="16" t="s">
        <v>221</v>
      </c>
      <c r="I305" s="16" t="s">
        <v>1150</v>
      </c>
      <c r="J305" s="16" t="s">
        <v>249</v>
      </c>
      <c r="K305" s="16" t="s">
        <v>3236</v>
      </c>
      <c r="L305" s="16" t="s">
        <v>3230</v>
      </c>
    </row>
    <row r="306" spans="1:12" x14ac:dyDescent="0.35">
      <c r="A306" s="16" t="s">
        <v>1151</v>
      </c>
      <c r="B306" s="17">
        <v>46153.554340277777</v>
      </c>
      <c r="C306" s="16" t="s">
        <v>228</v>
      </c>
      <c r="D306" s="16" t="s">
        <v>229</v>
      </c>
      <c r="E306" s="16" t="s">
        <v>1152</v>
      </c>
      <c r="F306" s="16" t="s">
        <v>219</v>
      </c>
      <c r="G306" s="16" t="s">
        <v>220</v>
      </c>
      <c r="H306" s="16" t="s">
        <v>232</v>
      </c>
      <c r="I306" s="16" t="s">
        <v>1153</v>
      </c>
      <c r="J306" s="16" t="s">
        <v>270</v>
      </c>
      <c r="K306" s="16" t="s">
        <v>3256</v>
      </c>
      <c r="L306" s="16" t="s">
        <v>3231</v>
      </c>
    </row>
    <row r="307" spans="1:12" x14ac:dyDescent="0.35">
      <c r="A307" s="16" t="s">
        <v>1154</v>
      </c>
      <c r="B307" s="17">
        <v>45828.327280092592</v>
      </c>
      <c r="C307" s="16" t="s">
        <v>241</v>
      </c>
      <c r="D307" s="16" t="s">
        <v>242</v>
      </c>
      <c r="E307" s="16" t="s">
        <v>1155</v>
      </c>
      <c r="F307" s="16" t="s">
        <v>69</v>
      </c>
      <c r="G307" s="16" t="s">
        <v>231</v>
      </c>
      <c r="H307" s="16" t="s">
        <v>221</v>
      </c>
      <c r="I307" s="16" t="s">
        <v>1156</v>
      </c>
      <c r="J307" s="16" t="s">
        <v>223</v>
      </c>
      <c r="K307" s="16" t="s">
        <v>3249</v>
      </c>
      <c r="L307" s="16" t="s">
        <v>3232</v>
      </c>
    </row>
    <row r="308" spans="1:12" x14ac:dyDescent="0.35">
      <c r="A308" s="16" t="s">
        <v>1157</v>
      </c>
      <c r="B308" s="17">
        <v>45604.420925925922</v>
      </c>
      <c r="C308" s="16" t="s">
        <v>260</v>
      </c>
      <c r="D308" s="16" t="s">
        <v>261</v>
      </c>
      <c r="E308" s="16" t="s">
        <v>1158</v>
      </c>
      <c r="F308" s="16" t="s">
        <v>237</v>
      </c>
      <c r="G308" s="16" t="s">
        <v>220</v>
      </c>
      <c r="H308" s="16" t="s">
        <v>232</v>
      </c>
      <c r="I308" s="16" t="s">
        <v>1159</v>
      </c>
      <c r="J308" s="16" t="s">
        <v>234</v>
      </c>
      <c r="K308" s="16" t="s">
        <v>3245</v>
      </c>
      <c r="L308" s="16" t="s">
        <v>3232</v>
      </c>
    </row>
    <row r="309" spans="1:12" x14ac:dyDescent="0.35">
      <c r="A309" s="16" t="s">
        <v>1160</v>
      </c>
      <c r="B309" s="17">
        <v>45427.470532407409</v>
      </c>
      <c r="C309" s="16" t="s">
        <v>241</v>
      </c>
      <c r="D309" s="16" t="s">
        <v>242</v>
      </c>
      <c r="E309" s="16" t="s">
        <v>1161</v>
      </c>
      <c r="F309" s="16" t="s">
        <v>219</v>
      </c>
      <c r="G309" s="16" t="s">
        <v>220</v>
      </c>
      <c r="H309" s="16" t="s">
        <v>238</v>
      </c>
      <c r="I309" s="16" t="s">
        <v>1162</v>
      </c>
      <c r="J309" s="16" t="s">
        <v>270</v>
      </c>
      <c r="K309" s="16" t="s">
        <v>3259</v>
      </c>
      <c r="L309" s="16" t="s">
        <v>3235</v>
      </c>
    </row>
    <row r="310" spans="1:12" x14ac:dyDescent="0.35">
      <c r="A310" s="16" t="s">
        <v>1163</v>
      </c>
      <c r="B310" s="17">
        <v>45404.469201388885</v>
      </c>
      <c r="C310" s="16" t="s">
        <v>260</v>
      </c>
      <c r="D310" s="16" t="s">
        <v>261</v>
      </c>
      <c r="E310" s="16" t="s">
        <v>1164</v>
      </c>
      <c r="F310" s="16" t="s">
        <v>219</v>
      </c>
      <c r="G310" s="16" t="s">
        <v>244</v>
      </c>
      <c r="H310" s="16" t="s">
        <v>221</v>
      </c>
      <c r="I310" s="16" t="s">
        <v>1165</v>
      </c>
      <c r="J310" s="16" t="s">
        <v>270</v>
      </c>
      <c r="K310" s="16" t="s">
        <v>3247</v>
      </c>
      <c r="L310" s="16" t="s">
        <v>3234</v>
      </c>
    </row>
    <row r="311" spans="1:12" x14ac:dyDescent="0.35">
      <c r="A311" s="16" t="s">
        <v>1166</v>
      </c>
      <c r="B311" s="17">
        <v>46308.525960648149</v>
      </c>
      <c r="C311" s="16" t="s">
        <v>228</v>
      </c>
      <c r="D311" s="16" t="s">
        <v>229</v>
      </c>
      <c r="E311" s="16" t="s">
        <v>1167</v>
      </c>
      <c r="F311" s="16" t="s">
        <v>219</v>
      </c>
      <c r="G311" s="16" t="s">
        <v>244</v>
      </c>
      <c r="H311" s="16" t="s">
        <v>221</v>
      </c>
      <c r="I311" s="16" t="s">
        <v>1168</v>
      </c>
      <c r="J311" s="16" t="s">
        <v>249</v>
      </c>
      <c r="K311" s="16" t="s">
        <v>3259</v>
      </c>
      <c r="L311" s="16" t="s">
        <v>3235</v>
      </c>
    </row>
    <row r="312" spans="1:12" x14ac:dyDescent="0.35">
      <c r="A312" s="16" t="s">
        <v>1169</v>
      </c>
      <c r="B312" s="17">
        <v>45352.508217592593</v>
      </c>
      <c r="C312" s="16" t="s">
        <v>228</v>
      </c>
      <c r="D312" s="16" t="s">
        <v>229</v>
      </c>
      <c r="E312" s="16" t="s">
        <v>1170</v>
      </c>
      <c r="F312" s="16" t="s">
        <v>237</v>
      </c>
      <c r="G312" s="16" t="s">
        <v>244</v>
      </c>
      <c r="H312" s="16" t="s">
        <v>238</v>
      </c>
      <c r="I312" s="16" t="s">
        <v>1171</v>
      </c>
      <c r="J312" s="16" t="s">
        <v>270</v>
      </c>
      <c r="K312" s="16" t="s">
        <v>3236</v>
      </c>
      <c r="L312" s="16" t="s">
        <v>3230</v>
      </c>
    </row>
    <row r="313" spans="1:12" x14ac:dyDescent="0.35">
      <c r="A313" s="16" t="s">
        <v>1172</v>
      </c>
      <c r="B313" s="17">
        <v>46029.084097222221</v>
      </c>
      <c r="C313" s="16" t="s">
        <v>260</v>
      </c>
      <c r="D313" s="16" t="s">
        <v>261</v>
      </c>
      <c r="E313" s="16" t="s">
        <v>1173</v>
      </c>
      <c r="F313" s="16" t="s">
        <v>219</v>
      </c>
      <c r="G313" s="16" t="s">
        <v>220</v>
      </c>
      <c r="H313" s="16" t="s">
        <v>232</v>
      </c>
      <c r="I313" s="16" t="s">
        <v>1174</v>
      </c>
      <c r="J313" s="16" t="s">
        <v>249</v>
      </c>
      <c r="K313" s="16" t="s">
        <v>3249</v>
      </c>
      <c r="L313" s="16" t="s">
        <v>3232</v>
      </c>
    </row>
    <row r="314" spans="1:12" x14ac:dyDescent="0.35">
      <c r="A314" s="16" t="s">
        <v>1175</v>
      </c>
      <c r="B314" s="17">
        <v>45759.771898148145</v>
      </c>
      <c r="C314" s="16" t="s">
        <v>216</v>
      </c>
      <c r="D314" s="16" t="s">
        <v>217</v>
      </c>
      <c r="E314" s="16" t="s">
        <v>1176</v>
      </c>
      <c r="F314" s="16" t="s">
        <v>69</v>
      </c>
      <c r="G314" s="16" t="s">
        <v>220</v>
      </c>
      <c r="H314" s="16" t="s">
        <v>273</v>
      </c>
      <c r="I314" s="16" t="s">
        <v>1177</v>
      </c>
      <c r="J314" s="16" t="s">
        <v>223</v>
      </c>
      <c r="K314" s="16" t="s">
        <v>3252</v>
      </c>
      <c r="L314" s="16" t="s">
        <v>3232</v>
      </c>
    </row>
    <row r="315" spans="1:12" x14ac:dyDescent="0.35">
      <c r="A315" s="16" t="s">
        <v>1178</v>
      </c>
      <c r="B315" s="17">
        <v>45658.05364583333</v>
      </c>
      <c r="C315" s="16" t="s">
        <v>301</v>
      </c>
      <c r="D315" s="16" t="s">
        <v>302</v>
      </c>
      <c r="E315" s="16" t="s">
        <v>1179</v>
      </c>
      <c r="F315" s="16" t="s">
        <v>219</v>
      </c>
      <c r="G315" s="16" t="s">
        <v>244</v>
      </c>
      <c r="H315" s="16" t="s">
        <v>232</v>
      </c>
      <c r="I315" s="16" t="s">
        <v>1180</v>
      </c>
      <c r="J315" s="16" t="s">
        <v>249</v>
      </c>
      <c r="K315" s="16" t="s">
        <v>3256</v>
      </c>
      <c r="L315" s="16" t="s">
        <v>3231</v>
      </c>
    </row>
    <row r="316" spans="1:12" x14ac:dyDescent="0.35">
      <c r="A316" s="16" t="s">
        <v>1181</v>
      </c>
      <c r="B316" s="17">
        <v>45847.118148148147</v>
      </c>
      <c r="C316" s="16" t="s">
        <v>228</v>
      </c>
      <c r="D316" s="16" t="s">
        <v>229</v>
      </c>
      <c r="E316" s="16" t="s">
        <v>1182</v>
      </c>
      <c r="F316" s="16" t="s">
        <v>237</v>
      </c>
      <c r="G316" s="16" t="s">
        <v>220</v>
      </c>
      <c r="H316" s="16" t="s">
        <v>232</v>
      </c>
      <c r="I316" s="16" t="s">
        <v>1183</v>
      </c>
      <c r="J316" s="16" t="s">
        <v>270</v>
      </c>
      <c r="K316" s="16" t="s">
        <v>3241</v>
      </c>
      <c r="L316" s="16" t="s">
        <v>3231</v>
      </c>
    </row>
    <row r="317" spans="1:12" x14ac:dyDescent="0.35">
      <c r="A317" s="16" t="s">
        <v>1184</v>
      </c>
      <c r="B317" s="17">
        <v>45386.608217592591</v>
      </c>
      <c r="C317" s="16" t="s">
        <v>228</v>
      </c>
      <c r="D317" s="16" t="s">
        <v>229</v>
      </c>
      <c r="E317" s="16" t="s">
        <v>1185</v>
      </c>
      <c r="F317" s="16" t="s">
        <v>237</v>
      </c>
      <c r="G317" s="16" t="s">
        <v>231</v>
      </c>
      <c r="H317" s="16" t="s">
        <v>277</v>
      </c>
      <c r="I317" s="16" t="s">
        <v>1186</v>
      </c>
      <c r="J317" s="16" t="s">
        <v>270</v>
      </c>
      <c r="K317" s="16" t="s">
        <v>3253</v>
      </c>
      <c r="L317" s="16" t="s">
        <v>3234</v>
      </c>
    </row>
    <row r="318" spans="1:12" x14ac:dyDescent="0.35">
      <c r="A318" s="16" t="s">
        <v>1187</v>
      </c>
      <c r="B318" s="17">
        <v>46047.3044212963</v>
      </c>
      <c r="C318" s="16" t="s">
        <v>241</v>
      </c>
      <c r="D318" s="16" t="s">
        <v>242</v>
      </c>
      <c r="E318" s="16" t="s">
        <v>1188</v>
      </c>
      <c r="F318" s="16" t="s">
        <v>219</v>
      </c>
      <c r="G318" s="16" t="s">
        <v>231</v>
      </c>
      <c r="H318" s="16" t="s">
        <v>232</v>
      </c>
      <c r="I318" s="16" t="s">
        <v>1189</v>
      </c>
      <c r="J318" s="16" t="s">
        <v>249</v>
      </c>
      <c r="K318" s="16" t="s">
        <v>3256</v>
      </c>
      <c r="L318" s="16" t="s">
        <v>3231</v>
      </c>
    </row>
    <row r="319" spans="1:12" x14ac:dyDescent="0.35">
      <c r="A319" s="16" t="s">
        <v>1190</v>
      </c>
      <c r="B319" s="17">
        <v>45794.228414351855</v>
      </c>
      <c r="C319" s="16" t="s">
        <v>241</v>
      </c>
      <c r="D319" s="16" t="s">
        <v>242</v>
      </c>
      <c r="E319" s="16" t="s">
        <v>1191</v>
      </c>
      <c r="F319" s="16" t="s">
        <v>237</v>
      </c>
      <c r="G319" s="16" t="s">
        <v>220</v>
      </c>
      <c r="H319" s="16" t="s">
        <v>232</v>
      </c>
      <c r="I319" s="16" t="s">
        <v>1192</v>
      </c>
      <c r="J319" s="16" t="s">
        <v>249</v>
      </c>
      <c r="K319" s="16" t="s">
        <v>3256</v>
      </c>
      <c r="L319" s="16" t="s">
        <v>3231</v>
      </c>
    </row>
    <row r="320" spans="1:12" x14ac:dyDescent="0.35">
      <c r="A320" s="16" t="s">
        <v>1193</v>
      </c>
      <c r="B320" s="17">
        <v>46062.466504629629</v>
      </c>
      <c r="C320" s="16" t="s">
        <v>216</v>
      </c>
      <c r="D320" s="16" t="s">
        <v>217</v>
      </c>
      <c r="E320" s="16" t="s">
        <v>1194</v>
      </c>
      <c r="F320" s="16" t="s">
        <v>69</v>
      </c>
      <c r="G320" s="16" t="s">
        <v>244</v>
      </c>
      <c r="H320" s="16" t="s">
        <v>238</v>
      </c>
      <c r="I320" s="16" t="s">
        <v>1195</v>
      </c>
      <c r="J320" s="16" t="s">
        <v>223</v>
      </c>
      <c r="K320" s="16" t="s">
        <v>3248</v>
      </c>
      <c r="L320" s="16" t="s">
        <v>3231</v>
      </c>
    </row>
    <row r="321" spans="1:12" x14ac:dyDescent="0.35">
      <c r="A321" s="16" t="s">
        <v>1196</v>
      </c>
      <c r="B321" s="17">
        <v>45482.06659722222</v>
      </c>
      <c r="C321" s="16" t="s">
        <v>216</v>
      </c>
      <c r="D321" s="16" t="s">
        <v>217</v>
      </c>
      <c r="E321" s="16" t="s">
        <v>1197</v>
      </c>
      <c r="F321" s="16" t="s">
        <v>219</v>
      </c>
      <c r="G321" s="16" t="s">
        <v>231</v>
      </c>
      <c r="H321" s="16" t="s">
        <v>277</v>
      </c>
      <c r="I321" s="16" t="s">
        <v>1198</v>
      </c>
      <c r="J321" s="16" t="s">
        <v>270</v>
      </c>
      <c r="K321" s="16" t="s">
        <v>3243</v>
      </c>
      <c r="L321" s="16" t="s">
        <v>3234</v>
      </c>
    </row>
    <row r="322" spans="1:12" x14ac:dyDescent="0.35">
      <c r="A322" s="16" t="s">
        <v>1199</v>
      </c>
      <c r="B322" s="17">
        <v>45565.966678240744</v>
      </c>
      <c r="C322" s="16" t="s">
        <v>241</v>
      </c>
      <c r="D322" s="16" t="s">
        <v>242</v>
      </c>
      <c r="E322" s="16" t="s">
        <v>1200</v>
      </c>
      <c r="F322" s="16" t="s">
        <v>69</v>
      </c>
      <c r="G322" s="16" t="s">
        <v>244</v>
      </c>
      <c r="H322" s="16" t="s">
        <v>221</v>
      </c>
      <c r="I322" s="16" t="s">
        <v>1201</v>
      </c>
      <c r="J322" s="16" t="s">
        <v>234</v>
      </c>
      <c r="K322" s="16" t="s">
        <v>3259</v>
      </c>
      <c r="L322" s="16" t="s">
        <v>3235</v>
      </c>
    </row>
    <row r="323" spans="1:12" x14ac:dyDescent="0.35">
      <c r="A323" s="16" t="s">
        <v>1202</v>
      </c>
      <c r="B323" s="17">
        <v>45937.596122685187</v>
      </c>
      <c r="C323" s="16" t="s">
        <v>228</v>
      </c>
      <c r="D323" s="16" t="s">
        <v>229</v>
      </c>
      <c r="E323" s="16" t="s">
        <v>1203</v>
      </c>
      <c r="F323" s="16" t="s">
        <v>237</v>
      </c>
      <c r="G323" s="16" t="s">
        <v>231</v>
      </c>
      <c r="H323" s="16" t="s">
        <v>238</v>
      </c>
      <c r="I323" s="16" t="s">
        <v>1204</v>
      </c>
      <c r="J323" s="16" t="s">
        <v>270</v>
      </c>
      <c r="K323" s="16" t="s">
        <v>3241</v>
      </c>
      <c r="L323" s="16" t="s">
        <v>3231</v>
      </c>
    </row>
    <row r="324" spans="1:12" x14ac:dyDescent="0.35">
      <c r="A324" s="16" t="s">
        <v>1205</v>
      </c>
      <c r="B324" s="17">
        <v>45515.235752314817</v>
      </c>
      <c r="C324" s="16" t="s">
        <v>228</v>
      </c>
      <c r="D324" s="16" t="s">
        <v>229</v>
      </c>
      <c r="E324" s="16" t="s">
        <v>1206</v>
      </c>
      <c r="F324" s="16" t="s">
        <v>69</v>
      </c>
      <c r="G324" s="16" t="s">
        <v>231</v>
      </c>
      <c r="H324" s="16" t="s">
        <v>277</v>
      </c>
      <c r="I324" s="16" t="s">
        <v>1207</v>
      </c>
      <c r="J324" s="16" t="s">
        <v>223</v>
      </c>
      <c r="K324" s="16" t="s">
        <v>3229</v>
      </c>
      <c r="L324" s="16" t="s">
        <v>3230</v>
      </c>
    </row>
    <row r="325" spans="1:12" x14ac:dyDescent="0.35">
      <c r="A325" s="16" t="s">
        <v>1208</v>
      </c>
      <c r="B325" s="17">
        <v>45717.685567129629</v>
      </c>
      <c r="C325" s="16" t="s">
        <v>216</v>
      </c>
      <c r="D325" s="16" t="s">
        <v>217</v>
      </c>
      <c r="E325" s="16" t="s">
        <v>1209</v>
      </c>
      <c r="F325" s="16" t="s">
        <v>237</v>
      </c>
      <c r="G325" s="16" t="s">
        <v>231</v>
      </c>
      <c r="H325" s="16" t="s">
        <v>273</v>
      </c>
      <c r="I325" s="16" t="s">
        <v>1210</v>
      </c>
      <c r="J325" s="16" t="s">
        <v>234</v>
      </c>
      <c r="K325" s="16" t="s">
        <v>3238</v>
      </c>
      <c r="L325" s="16" t="s">
        <v>3230</v>
      </c>
    </row>
    <row r="326" spans="1:12" x14ac:dyDescent="0.35">
      <c r="A326" s="16" t="s">
        <v>1211</v>
      </c>
      <c r="B326" s="17">
        <v>45732.49726851852</v>
      </c>
      <c r="C326" s="16" t="s">
        <v>301</v>
      </c>
      <c r="D326" s="16" t="s">
        <v>302</v>
      </c>
      <c r="E326" s="16" t="s">
        <v>1212</v>
      </c>
      <c r="F326" s="16" t="s">
        <v>69</v>
      </c>
      <c r="G326" s="16" t="s">
        <v>244</v>
      </c>
      <c r="H326" s="16" t="s">
        <v>273</v>
      </c>
      <c r="I326" s="16" t="s">
        <v>1213</v>
      </c>
      <c r="J326" s="16" t="s">
        <v>223</v>
      </c>
      <c r="K326" s="16" t="s">
        <v>3252</v>
      </c>
      <c r="L326" s="16" t="s">
        <v>3232</v>
      </c>
    </row>
    <row r="327" spans="1:12" x14ac:dyDescent="0.35">
      <c r="A327" s="16" t="s">
        <v>1214</v>
      </c>
      <c r="B327" s="17">
        <v>45824.263761574075</v>
      </c>
      <c r="C327" s="16" t="s">
        <v>241</v>
      </c>
      <c r="D327" s="16" t="s">
        <v>242</v>
      </c>
      <c r="E327" s="16" t="s">
        <v>1215</v>
      </c>
      <c r="F327" s="16" t="s">
        <v>237</v>
      </c>
      <c r="G327" s="16" t="s">
        <v>231</v>
      </c>
      <c r="H327" s="16" t="s">
        <v>221</v>
      </c>
      <c r="I327" s="16" t="s">
        <v>1216</v>
      </c>
      <c r="J327" s="16" t="s">
        <v>223</v>
      </c>
      <c r="K327" s="16" t="s">
        <v>3255</v>
      </c>
      <c r="L327" s="16" t="s">
        <v>3235</v>
      </c>
    </row>
    <row r="328" spans="1:12" x14ac:dyDescent="0.35">
      <c r="A328" s="16" t="s">
        <v>1217</v>
      </c>
      <c r="B328" s="17">
        <v>45316.093553240738</v>
      </c>
      <c r="C328" s="16" t="s">
        <v>216</v>
      </c>
      <c r="D328" s="16" t="s">
        <v>217</v>
      </c>
      <c r="E328" s="16" t="s">
        <v>1218</v>
      </c>
      <c r="F328" s="16" t="s">
        <v>69</v>
      </c>
      <c r="G328" s="16" t="s">
        <v>220</v>
      </c>
      <c r="H328" s="16" t="s">
        <v>277</v>
      </c>
      <c r="I328" s="16" t="s">
        <v>1219</v>
      </c>
      <c r="J328" s="16" t="s">
        <v>270</v>
      </c>
      <c r="K328" s="16" t="s">
        <v>3242</v>
      </c>
      <c r="L328" s="16" t="s">
        <v>3232</v>
      </c>
    </row>
    <row r="329" spans="1:12" x14ac:dyDescent="0.35">
      <c r="A329" s="16" t="s">
        <v>1220</v>
      </c>
      <c r="B329" s="17">
        <v>45445.033067129632</v>
      </c>
      <c r="C329" s="16" t="s">
        <v>241</v>
      </c>
      <c r="D329" s="16" t="s">
        <v>242</v>
      </c>
      <c r="E329" s="16" t="s">
        <v>1221</v>
      </c>
      <c r="F329" s="16" t="s">
        <v>69</v>
      </c>
      <c r="G329" s="16" t="s">
        <v>244</v>
      </c>
      <c r="H329" s="16" t="s">
        <v>273</v>
      </c>
      <c r="I329" s="16" t="s">
        <v>1222</v>
      </c>
      <c r="J329" s="16" t="s">
        <v>270</v>
      </c>
      <c r="K329" s="16" t="s">
        <v>3243</v>
      </c>
      <c r="L329" s="16" t="s">
        <v>3234</v>
      </c>
    </row>
    <row r="330" spans="1:12" x14ac:dyDescent="0.35">
      <c r="A330" s="16" t="s">
        <v>1223</v>
      </c>
      <c r="B330" s="17">
        <v>46236.076817129629</v>
      </c>
      <c r="C330" s="16" t="s">
        <v>301</v>
      </c>
      <c r="D330" s="16" t="s">
        <v>302</v>
      </c>
      <c r="E330" s="16" t="s">
        <v>1224</v>
      </c>
      <c r="F330" s="16" t="s">
        <v>219</v>
      </c>
      <c r="G330" s="16" t="s">
        <v>231</v>
      </c>
      <c r="H330" s="16" t="s">
        <v>221</v>
      </c>
      <c r="I330" s="16" t="s">
        <v>1225</v>
      </c>
      <c r="J330" s="16" t="s">
        <v>270</v>
      </c>
      <c r="K330" s="16" t="s">
        <v>3255</v>
      </c>
      <c r="L330" s="16" t="s">
        <v>3235</v>
      </c>
    </row>
    <row r="331" spans="1:12" x14ac:dyDescent="0.35">
      <c r="A331" s="16" t="s">
        <v>1226</v>
      </c>
      <c r="B331" s="17">
        <v>46016.325729166667</v>
      </c>
      <c r="C331" s="16" t="s">
        <v>260</v>
      </c>
      <c r="D331" s="16" t="s">
        <v>261</v>
      </c>
      <c r="E331" s="16" t="s">
        <v>1227</v>
      </c>
      <c r="F331" s="16" t="s">
        <v>237</v>
      </c>
      <c r="G331" s="16" t="s">
        <v>231</v>
      </c>
      <c r="H331" s="16" t="s">
        <v>232</v>
      </c>
      <c r="I331" s="16" t="s">
        <v>1228</v>
      </c>
      <c r="J331" s="16" t="s">
        <v>270</v>
      </c>
      <c r="K331" s="16" t="s">
        <v>3253</v>
      </c>
      <c r="L331" s="16" t="s">
        <v>3234</v>
      </c>
    </row>
    <row r="332" spans="1:12" x14ac:dyDescent="0.35">
      <c r="A332" s="16" t="s">
        <v>1229</v>
      </c>
      <c r="B332" s="17">
        <v>45795.981944444444</v>
      </c>
      <c r="C332" s="16" t="s">
        <v>241</v>
      </c>
      <c r="D332" s="16" t="s">
        <v>242</v>
      </c>
      <c r="E332" s="16" t="s">
        <v>1230</v>
      </c>
      <c r="F332" s="16" t="s">
        <v>237</v>
      </c>
      <c r="G332" s="16" t="s">
        <v>231</v>
      </c>
      <c r="H332" s="16" t="s">
        <v>273</v>
      </c>
      <c r="I332" s="16" t="s">
        <v>1231</v>
      </c>
      <c r="J332" s="16" t="s">
        <v>270</v>
      </c>
      <c r="K332" s="16" t="s">
        <v>3241</v>
      </c>
      <c r="L332" s="16" t="s">
        <v>3231</v>
      </c>
    </row>
    <row r="333" spans="1:12" x14ac:dyDescent="0.35">
      <c r="A333" s="16" t="s">
        <v>1232</v>
      </c>
      <c r="B333" s="17">
        <v>46150.302581018521</v>
      </c>
      <c r="C333" s="16" t="s">
        <v>301</v>
      </c>
      <c r="D333" s="16" t="s">
        <v>302</v>
      </c>
      <c r="E333" s="16" t="s">
        <v>1233</v>
      </c>
      <c r="F333" s="16" t="s">
        <v>219</v>
      </c>
      <c r="G333" s="16" t="s">
        <v>220</v>
      </c>
      <c r="H333" s="16" t="s">
        <v>232</v>
      </c>
      <c r="I333" s="16" t="s">
        <v>1042</v>
      </c>
      <c r="J333" s="16" t="s">
        <v>223</v>
      </c>
      <c r="K333" s="16" t="s">
        <v>3244</v>
      </c>
      <c r="L333" s="16" t="s">
        <v>3235</v>
      </c>
    </row>
    <row r="334" spans="1:12" x14ac:dyDescent="0.35">
      <c r="A334" s="16" t="s">
        <v>1234</v>
      </c>
      <c r="B334" s="17">
        <v>46284.521909722222</v>
      </c>
      <c r="C334" s="16" t="s">
        <v>301</v>
      </c>
      <c r="D334" s="16" t="s">
        <v>302</v>
      </c>
      <c r="E334" s="16" t="s">
        <v>1235</v>
      </c>
      <c r="F334" s="16" t="s">
        <v>219</v>
      </c>
      <c r="G334" s="16" t="s">
        <v>231</v>
      </c>
      <c r="H334" s="16" t="s">
        <v>232</v>
      </c>
      <c r="I334" s="16" t="s">
        <v>1236</v>
      </c>
      <c r="J334" s="16" t="s">
        <v>234</v>
      </c>
      <c r="K334" s="16" t="s">
        <v>3238</v>
      </c>
      <c r="L334" s="16" t="s">
        <v>3230</v>
      </c>
    </row>
    <row r="335" spans="1:12" x14ac:dyDescent="0.35">
      <c r="A335" s="16" t="s">
        <v>1237</v>
      </c>
      <c r="B335" s="17">
        <v>45740.044444444444</v>
      </c>
      <c r="C335" s="16" t="s">
        <v>216</v>
      </c>
      <c r="D335" s="16" t="s">
        <v>217</v>
      </c>
      <c r="E335" s="16" t="s">
        <v>1238</v>
      </c>
      <c r="F335" s="16" t="s">
        <v>69</v>
      </c>
      <c r="G335" s="16" t="s">
        <v>231</v>
      </c>
      <c r="H335" s="16" t="s">
        <v>238</v>
      </c>
      <c r="I335" s="16" t="s">
        <v>1239</v>
      </c>
      <c r="J335" s="16" t="s">
        <v>234</v>
      </c>
      <c r="K335" s="16" t="s">
        <v>3248</v>
      </c>
      <c r="L335" s="16" t="s">
        <v>3231</v>
      </c>
    </row>
    <row r="336" spans="1:12" x14ac:dyDescent="0.35">
      <c r="A336" s="16" t="s">
        <v>1240</v>
      </c>
      <c r="B336" s="17">
        <v>45785.404328703706</v>
      </c>
      <c r="C336" s="16" t="s">
        <v>228</v>
      </c>
      <c r="D336" s="16" t="s">
        <v>229</v>
      </c>
      <c r="E336" s="16" t="s">
        <v>1241</v>
      </c>
      <c r="F336" s="16" t="s">
        <v>219</v>
      </c>
      <c r="G336" s="16" t="s">
        <v>220</v>
      </c>
      <c r="H336" s="16" t="s">
        <v>221</v>
      </c>
      <c r="I336" s="16" t="s">
        <v>1242</v>
      </c>
      <c r="J336" s="16" t="s">
        <v>223</v>
      </c>
      <c r="K336" s="16" t="s">
        <v>3259</v>
      </c>
      <c r="L336" s="16" t="s">
        <v>3235</v>
      </c>
    </row>
    <row r="337" spans="1:12" x14ac:dyDescent="0.35">
      <c r="A337" s="16" t="s">
        <v>1243</v>
      </c>
      <c r="B337" s="17">
        <v>45776.898865740739</v>
      </c>
      <c r="C337" s="16" t="s">
        <v>301</v>
      </c>
      <c r="D337" s="16" t="s">
        <v>302</v>
      </c>
      <c r="E337" s="16" t="s">
        <v>1244</v>
      </c>
      <c r="F337" s="16" t="s">
        <v>219</v>
      </c>
      <c r="G337" s="16" t="s">
        <v>244</v>
      </c>
      <c r="H337" s="16" t="s">
        <v>277</v>
      </c>
      <c r="I337" s="16" t="s">
        <v>1245</v>
      </c>
      <c r="J337" s="16" t="s">
        <v>270</v>
      </c>
      <c r="K337" s="16" t="s">
        <v>3251</v>
      </c>
      <c r="L337" s="16" t="s">
        <v>3231</v>
      </c>
    </row>
    <row r="338" spans="1:12" x14ac:dyDescent="0.35">
      <c r="A338" s="16" t="s">
        <v>1246</v>
      </c>
      <c r="B338" s="17">
        <v>45583.854247685187</v>
      </c>
      <c r="C338" s="16" t="s">
        <v>301</v>
      </c>
      <c r="D338" s="16" t="s">
        <v>302</v>
      </c>
      <c r="E338" s="16" t="s">
        <v>1247</v>
      </c>
      <c r="F338" s="16" t="s">
        <v>237</v>
      </c>
      <c r="G338" s="16" t="s">
        <v>244</v>
      </c>
      <c r="H338" s="16" t="s">
        <v>273</v>
      </c>
      <c r="I338" s="16" t="s">
        <v>1248</v>
      </c>
      <c r="J338" s="16" t="s">
        <v>223</v>
      </c>
      <c r="K338" s="16" t="s">
        <v>3257</v>
      </c>
      <c r="L338" s="16" t="s">
        <v>3234</v>
      </c>
    </row>
    <row r="339" spans="1:12" x14ac:dyDescent="0.35">
      <c r="A339" s="16" t="s">
        <v>1249</v>
      </c>
      <c r="B339" s="17">
        <v>45768.912743055553</v>
      </c>
      <c r="C339" s="16" t="s">
        <v>216</v>
      </c>
      <c r="D339" s="16" t="s">
        <v>217</v>
      </c>
      <c r="E339" s="16" t="s">
        <v>1250</v>
      </c>
      <c r="F339" s="16" t="s">
        <v>69</v>
      </c>
      <c r="G339" s="16" t="s">
        <v>244</v>
      </c>
      <c r="H339" s="16" t="s">
        <v>221</v>
      </c>
      <c r="I339" s="16" t="s">
        <v>1251</v>
      </c>
      <c r="J339" s="16" t="s">
        <v>249</v>
      </c>
      <c r="K339" s="16" t="s">
        <v>3252</v>
      </c>
      <c r="L339" s="16" t="s">
        <v>3232</v>
      </c>
    </row>
    <row r="340" spans="1:12" x14ac:dyDescent="0.35">
      <c r="A340" s="16" t="s">
        <v>1252</v>
      </c>
      <c r="B340" s="17">
        <v>45989.269212962965</v>
      </c>
      <c r="C340" s="16" t="s">
        <v>241</v>
      </c>
      <c r="D340" s="16" t="s">
        <v>242</v>
      </c>
      <c r="E340" s="16" t="s">
        <v>1253</v>
      </c>
      <c r="F340" s="16" t="s">
        <v>69</v>
      </c>
      <c r="G340" s="16" t="s">
        <v>220</v>
      </c>
      <c r="H340" s="16" t="s">
        <v>277</v>
      </c>
      <c r="I340" s="16" t="s">
        <v>1254</v>
      </c>
      <c r="J340" s="16" t="s">
        <v>234</v>
      </c>
      <c r="K340" s="16" t="s">
        <v>3255</v>
      </c>
      <c r="L340" s="16" t="s">
        <v>3235</v>
      </c>
    </row>
    <row r="341" spans="1:12" x14ac:dyDescent="0.35">
      <c r="A341" s="16" t="s">
        <v>1255</v>
      </c>
      <c r="B341" s="17">
        <v>45440.566747685189</v>
      </c>
      <c r="C341" s="16" t="s">
        <v>216</v>
      </c>
      <c r="D341" s="16" t="s">
        <v>217</v>
      </c>
      <c r="E341" s="16" t="s">
        <v>1256</v>
      </c>
      <c r="F341" s="16" t="s">
        <v>237</v>
      </c>
      <c r="G341" s="16" t="s">
        <v>244</v>
      </c>
      <c r="H341" s="16" t="s">
        <v>273</v>
      </c>
      <c r="I341" s="16" t="s">
        <v>1257</v>
      </c>
      <c r="J341" s="16" t="s">
        <v>249</v>
      </c>
      <c r="K341" s="16" t="s">
        <v>3237</v>
      </c>
      <c r="L341" s="16" t="s">
        <v>3230</v>
      </c>
    </row>
    <row r="342" spans="1:12" x14ac:dyDescent="0.35">
      <c r="A342" s="16" t="s">
        <v>1258</v>
      </c>
      <c r="B342" s="17">
        <v>46186.969780092593</v>
      </c>
      <c r="C342" s="16" t="s">
        <v>301</v>
      </c>
      <c r="D342" s="16" t="s">
        <v>302</v>
      </c>
      <c r="E342" s="16" t="s">
        <v>1259</v>
      </c>
      <c r="F342" s="16" t="s">
        <v>219</v>
      </c>
      <c r="G342" s="16" t="s">
        <v>231</v>
      </c>
      <c r="H342" s="16" t="s">
        <v>277</v>
      </c>
      <c r="I342" s="16" t="s">
        <v>1260</v>
      </c>
      <c r="J342" s="16" t="s">
        <v>249</v>
      </c>
      <c r="K342" s="16" t="s">
        <v>3259</v>
      </c>
      <c r="L342" s="16" t="s">
        <v>3235</v>
      </c>
    </row>
    <row r="343" spans="1:12" x14ac:dyDescent="0.35">
      <c r="A343" s="16" t="s">
        <v>1261</v>
      </c>
      <c r="B343" s="17">
        <v>46066.465451388889</v>
      </c>
      <c r="C343" s="16" t="s">
        <v>228</v>
      </c>
      <c r="D343" s="16" t="s">
        <v>229</v>
      </c>
      <c r="E343" s="16" t="s">
        <v>1262</v>
      </c>
      <c r="F343" s="16" t="s">
        <v>69</v>
      </c>
      <c r="G343" s="16" t="s">
        <v>220</v>
      </c>
      <c r="H343" s="16" t="s">
        <v>273</v>
      </c>
      <c r="I343" s="16" t="s">
        <v>1263</v>
      </c>
      <c r="J343" s="16" t="s">
        <v>223</v>
      </c>
      <c r="K343" s="16" t="s">
        <v>3259</v>
      </c>
      <c r="L343" s="16" t="s">
        <v>3235</v>
      </c>
    </row>
    <row r="344" spans="1:12" x14ac:dyDescent="0.35">
      <c r="A344" s="16" t="s">
        <v>1264</v>
      </c>
      <c r="B344" s="17">
        <v>45943.927476851852</v>
      </c>
      <c r="C344" s="16" t="s">
        <v>241</v>
      </c>
      <c r="D344" s="16" t="s">
        <v>242</v>
      </c>
      <c r="E344" s="16" t="s">
        <v>1265</v>
      </c>
      <c r="F344" s="16" t="s">
        <v>219</v>
      </c>
      <c r="G344" s="16" t="s">
        <v>244</v>
      </c>
      <c r="H344" s="16" t="s">
        <v>221</v>
      </c>
      <c r="I344" s="16" t="s">
        <v>1266</v>
      </c>
      <c r="J344" s="16" t="s">
        <v>234</v>
      </c>
      <c r="K344" s="16" t="s">
        <v>3251</v>
      </c>
      <c r="L344" s="16" t="s">
        <v>3231</v>
      </c>
    </row>
    <row r="345" spans="1:12" x14ac:dyDescent="0.35">
      <c r="A345" s="16" t="s">
        <v>1267</v>
      </c>
      <c r="B345" s="17">
        <v>46002.484710648147</v>
      </c>
      <c r="C345" s="16" t="s">
        <v>301</v>
      </c>
      <c r="D345" s="16" t="s">
        <v>302</v>
      </c>
      <c r="E345" s="16" t="s">
        <v>1268</v>
      </c>
      <c r="F345" s="16" t="s">
        <v>219</v>
      </c>
      <c r="G345" s="16" t="s">
        <v>220</v>
      </c>
      <c r="H345" s="16" t="s">
        <v>221</v>
      </c>
      <c r="I345" s="16" t="s">
        <v>1269</v>
      </c>
      <c r="J345" s="16" t="s">
        <v>270</v>
      </c>
      <c r="K345" s="16" t="s">
        <v>3253</v>
      </c>
      <c r="L345" s="16" t="s">
        <v>3234</v>
      </c>
    </row>
    <row r="346" spans="1:12" x14ac:dyDescent="0.35">
      <c r="A346" s="16" t="s">
        <v>1270</v>
      </c>
      <c r="B346" s="17">
        <v>45430.531689814816</v>
      </c>
      <c r="C346" s="16" t="s">
        <v>301</v>
      </c>
      <c r="D346" s="16" t="s">
        <v>302</v>
      </c>
      <c r="E346" s="16" t="s">
        <v>1271</v>
      </c>
      <c r="F346" s="16" t="s">
        <v>69</v>
      </c>
      <c r="G346" s="16" t="s">
        <v>244</v>
      </c>
      <c r="H346" s="16" t="s">
        <v>277</v>
      </c>
      <c r="I346" s="16" t="s">
        <v>1272</v>
      </c>
      <c r="J346" s="16" t="s">
        <v>223</v>
      </c>
      <c r="K346" s="16" t="s">
        <v>3233</v>
      </c>
      <c r="L346" s="16" t="s">
        <v>3230</v>
      </c>
    </row>
    <row r="347" spans="1:12" x14ac:dyDescent="0.35">
      <c r="A347" s="16" t="s">
        <v>1273</v>
      </c>
      <c r="B347" s="17">
        <v>46139.748020833336</v>
      </c>
      <c r="C347" s="16" t="s">
        <v>260</v>
      </c>
      <c r="D347" s="16" t="s">
        <v>261</v>
      </c>
      <c r="E347" s="16" t="s">
        <v>1274</v>
      </c>
      <c r="F347" s="16" t="s">
        <v>237</v>
      </c>
      <c r="G347" s="16" t="s">
        <v>244</v>
      </c>
      <c r="H347" s="16" t="s">
        <v>232</v>
      </c>
      <c r="I347" s="16" t="s">
        <v>1275</v>
      </c>
      <c r="J347" s="16" t="s">
        <v>223</v>
      </c>
      <c r="K347" s="16" t="s">
        <v>3248</v>
      </c>
      <c r="L347" s="16" t="s">
        <v>3231</v>
      </c>
    </row>
    <row r="348" spans="1:12" x14ac:dyDescent="0.35">
      <c r="A348" s="16" t="s">
        <v>1276</v>
      </c>
      <c r="B348" s="17">
        <v>46216.111817129633</v>
      </c>
      <c r="C348" s="16" t="s">
        <v>241</v>
      </c>
      <c r="D348" s="16" t="s">
        <v>242</v>
      </c>
      <c r="E348" s="16" t="s">
        <v>1277</v>
      </c>
      <c r="F348" s="16" t="s">
        <v>237</v>
      </c>
      <c r="G348" s="16" t="s">
        <v>220</v>
      </c>
      <c r="H348" s="16" t="s">
        <v>277</v>
      </c>
      <c r="I348" s="16" t="s">
        <v>1278</v>
      </c>
      <c r="J348" s="16" t="s">
        <v>270</v>
      </c>
      <c r="K348" s="16" t="s">
        <v>3257</v>
      </c>
      <c r="L348" s="16" t="s">
        <v>3234</v>
      </c>
    </row>
    <row r="349" spans="1:12" x14ac:dyDescent="0.35">
      <c r="A349" s="16" t="s">
        <v>1279</v>
      </c>
      <c r="B349" s="17">
        <v>46060.244097222225</v>
      </c>
      <c r="C349" s="16" t="s">
        <v>216</v>
      </c>
      <c r="D349" s="16" t="s">
        <v>217</v>
      </c>
      <c r="E349" s="16" t="s">
        <v>1280</v>
      </c>
      <c r="F349" s="16" t="s">
        <v>219</v>
      </c>
      <c r="G349" s="16" t="s">
        <v>220</v>
      </c>
      <c r="H349" s="16" t="s">
        <v>238</v>
      </c>
      <c r="I349" s="16" t="s">
        <v>1281</v>
      </c>
      <c r="J349" s="16" t="s">
        <v>223</v>
      </c>
      <c r="K349" s="16" t="s">
        <v>3236</v>
      </c>
      <c r="L349" s="16" t="s">
        <v>3230</v>
      </c>
    </row>
    <row r="350" spans="1:12" x14ac:dyDescent="0.35">
      <c r="A350" s="16" t="s">
        <v>1282</v>
      </c>
      <c r="B350" s="17">
        <v>46181.238321759258</v>
      </c>
      <c r="C350" s="16" t="s">
        <v>216</v>
      </c>
      <c r="D350" s="16" t="s">
        <v>217</v>
      </c>
      <c r="E350" s="16" t="s">
        <v>1283</v>
      </c>
      <c r="F350" s="16" t="s">
        <v>69</v>
      </c>
      <c r="G350" s="16" t="s">
        <v>231</v>
      </c>
      <c r="H350" s="16" t="s">
        <v>232</v>
      </c>
      <c r="I350" s="16" t="s">
        <v>1284</v>
      </c>
      <c r="J350" s="16" t="s">
        <v>223</v>
      </c>
      <c r="K350" s="16" t="s">
        <v>3256</v>
      </c>
      <c r="L350" s="16" t="s">
        <v>3231</v>
      </c>
    </row>
    <row r="351" spans="1:12" x14ac:dyDescent="0.35">
      <c r="A351" s="16" t="s">
        <v>1285</v>
      </c>
      <c r="B351" s="17">
        <v>45868.451157407406</v>
      </c>
      <c r="C351" s="16" t="s">
        <v>241</v>
      </c>
      <c r="D351" s="16" t="s">
        <v>242</v>
      </c>
      <c r="E351" s="16" t="s">
        <v>1286</v>
      </c>
      <c r="F351" s="16" t="s">
        <v>69</v>
      </c>
      <c r="G351" s="16" t="s">
        <v>220</v>
      </c>
      <c r="H351" s="16" t="s">
        <v>273</v>
      </c>
      <c r="I351" s="16" t="s">
        <v>1287</v>
      </c>
      <c r="J351" s="16" t="s">
        <v>223</v>
      </c>
      <c r="K351" s="16" t="s">
        <v>3249</v>
      </c>
      <c r="L351" s="16" t="s">
        <v>3232</v>
      </c>
    </row>
    <row r="352" spans="1:12" x14ac:dyDescent="0.35">
      <c r="A352" s="16" t="s">
        <v>1288</v>
      </c>
      <c r="B352" s="17">
        <v>45299.648692129631</v>
      </c>
      <c r="C352" s="16" t="s">
        <v>228</v>
      </c>
      <c r="D352" s="16" t="s">
        <v>229</v>
      </c>
      <c r="E352" s="16" t="s">
        <v>1289</v>
      </c>
      <c r="F352" s="16" t="s">
        <v>237</v>
      </c>
      <c r="G352" s="16" t="s">
        <v>244</v>
      </c>
      <c r="H352" s="16" t="s">
        <v>221</v>
      </c>
      <c r="I352" s="16" t="s">
        <v>1290</v>
      </c>
      <c r="J352" s="16" t="s">
        <v>270</v>
      </c>
      <c r="K352" s="16" t="s">
        <v>3245</v>
      </c>
      <c r="L352" s="16" t="s">
        <v>3232</v>
      </c>
    </row>
    <row r="353" spans="1:12" x14ac:dyDescent="0.35">
      <c r="A353" s="16" t="s">
        <v>1291</v>
      </c>
      <c r="B353" s="17">
        <v>45889.124293981484</v>
      </c>
      <c r="C353" s="16" t="s">
        <v>216</v>
      </c>
      <c r="D353" s="16" t="s">
        <v>217</v>
      </c>
      <c r="E353" s="16" t="s">
        <v>1292</v>
      </c>
      <c r="F353" s="16" t="s">
        <v>69</v>
      </c>
      <c r="G353" s="16" t="s">
        <v>231</v>
      </c>
      <c r="H353" s="16" t="s">
        <v>277</v>
      </c>
      <c r="I353" s="16" t="s">
        <v>1293</v>
      </c>
      <c r="J353" s="16" t="s">
        <v>223</v>
      </c>
      <c r="K353" s="16" t="s">
        <v>3251</v>
      </c>
      <c r="L353" s="16" t="s">
        <v>3231</v>
      </c>
    </row>
    <row r="354" spans="1:12" x14ac:dyDescent="0.35">
      <c r="A354" s="16" t="s">
        <v>1294</v>
      </c>
      <c r="B354" s="17">
        <v>46085.280462962961</v>
      </c>
      <c r="C354" s="16" t="s">
        <v>301</v>
      </c>
      <c r="D354" s="16" t="s">
        <v>302</v>
      </c>
      <c r="E354" s="16" t="s">
        <v>1295</v>
      </c>
      <c r="F354" s="16" t="s">
        <v>237</v>
      </c>
      <c r="G354" s="16" t="s">
        <v>231</v>
      </c>
      <c r="H354" s="16" t="s">
        <v>221</v>
      </c>
      <c r="I354" s="16" t="s">
        <v>1296</v>
      </c>
      <c r="J354" s="16" t="s">
        <v>270</v>
      </c>
      <c r="K354" s="16" t="s">
        <v>3239</v>
      </c>
      <c r="L354" s="16" t="s">
        <v>3235</v>
      </c>
    </row>
    <row r="355" spans="1:12" x14ac:dyDescent="0.35">
      <c r="A355" s="16" t="s">
        <v>1297</v>
      </c>
      <c r="B355" s="17">
        <v>45831.343217592592</v>
      </c>
      <c r="C355" s="16" t="s">
        <v>301</v>
      </c>
      <c r="D355" s="16" t="s">
        <v>302</v>
      </c>
      <c r="E355" s="16" t="s">
        <v>1298</v>
      </c>
      <c r="F355" s="16" t="s">
        <v>219</v>
      </c>
      <c r="G355" s="16" t="s">
        <v>220</v>
      </c>
      <c r="H355" s="16" t="s">
        <v>232</v>
      </c>
      <c r="I355" s="16" t="s">
        <v>1299</v>
      </c>
      <c r="J355" s="16" t="s">
        <v>270</v>
      </c>
      <c r="K355" s="16" t="s">
        <v>3257</v>
      </c>
      <c r="L355" s="16" t="s">
        <v>3234</v>
      </c>
    </row>
    <row r="356" spans="1:12" x14ac:dyDescent="0.35">
      <c r="A356" s="16" t="s">
        <v>1300</v>
      </c>
      <c r="B356" s="17">
        <v>46139.894629629627</v>
      </c>
      <c r="C356" s="16" t="s">
        <v>216</v>
      </c>
      <c r="D356" s="16" t="s">
        <v>217</v>
      </c>
      <c r="E356" s="16" t="s">
        <v>1301</v>
      </c>
      <c r="F356" s="16" t="s">
        <v>219</v>
      </c>
      <c r="G356" s="16" t="s">
        <v>220</v>
      </c>
      <c r="H356" s="16" t="s">
        <v>238</v>
      </c>
      <c r="I356" s="16" t="s">
        <v>1302</v>
      </c>
      <c r="J356" s="16" t="s">
        <v>223</v>
      </c>
      <c r="K356" s="16" t="s">
        <v>3258</v>
      </c>
      <c r="L356" s="16" t="s">
        <v>3235</v>
      </c>
    </row>
    <row r="357" spans="1:12" x14ac:dyDescent="0.35">
      <c r="A357" s="16" t="s">
        <v>1303</v>
      </c>
      <c r="B357" s="17">
        <v>45774.722500000003</v>
      </c>
      <c r="C357" s="16" t="s">
        <v>241</v>
      </c>
      <c r="D357" s="16" t="s">
        <v>242</v>
      </c>
      <c r="E357" s="16" t="s">
        <v>1304</v>
      </c>
      <c r="F357" s="16" t="s">
        <v>69</v>
      </c>
      <c r="G357" s="16" t="s">
        <v>231</v>
      </c>
      <c r="H357" s="16" t="s">
        <v>232</v>
      </c>
      <c r="I357" s="16" t="s">
        <v>1305</v>
      </c>
      <c r="J357" s="16" t="s">
        <v>234</v>
      </c>
      <c r="K357" s="16" t="s">
        <v>3241</v>
      </c>
      <c r="L357" s="16" t="s">
        <v>3231</v>
      </c>
    </row>
    <row r="358" spans="1:12" x14ac:dyDescent="0.35">
      <c r="A358" s="16" t="s">
        <v>1306</v>
      </c>
      <c r="B358" s="17">
        <v>45634.321435185186</v>
      </c>
      <c r="C358" s="16" t="s">
        <v>216</v>
      </c>
      <c r="D358" s="16" t="s">
        <v>217</v>
      </c>
      <c r="E358" s="16" t="s">
        <v>1307</v>
      </c>
      <c r="F358" s="16" t="s">
        <v>69</v>
      </c>
      <c r="G358" s="16" t="s">
        <v>220</v>
      </c>
      <c r="H358" s="16" t="s">
        <v>232</v>
      </c>
      <c r="I358" s="16" t="s">
        <v>1308</v>
      </c>
      <c r="J358" s="16" t="s">
        <v>223</v>
      </c>
      <c r="K358" s="16" t="s">
        <v>3237</v>
      </c>
      <c r="L358" s="16" t="s">
        <v>3230</v>
      </c>
    </row>
    <row r="359" spans="1:12" x14ac:dyDescent="0.35">
      <c r="A359" s="16" t="s">
        <v>1309</v>
      </c>
      <c r="B359" s="17">
        <v>45820.485069444447</v>
      </c>
      <c r="C359" s="16" t="s">
        <v>228</v>
      </c>
      <c r="D359" s="16" t="s">
        <v>229</v>
      </c>
      <c r="E359" s="16" t="s">
        <v>1310</v>
      </c>
      <c r="F359" s="16" t="s">
        <v>69</v>
      </c>
      <c r="G359" s="16" t="s">
        <v>231</v>
      </c>
      <c r="H359" s="16" t="s">
        <v>277</v>
      </c>
      <c r="I359" s="16" t="s">
        <v>1311</v>
      </c>
      <c r="J359" s="16" t="s">
        <v>249</v>
      </c>
      <c r="K359" s="16" t="s">
        <v>3246</v>
      </c>
      <c r="L359" s="16" t="s">
        <v>3234</v>
      </c>
    </row>
    <row r="360" spans="1:12" x14ac:dyDescent="0.35">
      <c r="A360" s="16" t="s">
        <v>1312</v>
      </c>
      <c r="B360" s="17">
        <v>45317.945196759261</v>
      </c>
      <c r="C360" s="16" t="s">
        <v>301</v>
      </c>
      <c r="D360" s="16" t="s">
        <v>302</v>
      </c>
      <c r="E360" s="16" t="s">
        <v>1313</v>
      </c>
      <c r="F360" s="16" t="s">
        <v>219</v>
      </c>
      <c r="G360" s="16" t="s">
        <v>231</v>
      </c>
      <c r="H360" s="16" t="s">
        <v>273</v>
      </c>
      <c r="I360" s="16" t="s">
        <v>1314</v>
      </c>
      <c r="J360" s="16" t="s">
        <v>234</v>
      </c>
      <c r="K360" s="16" t="s">
        <v>3247</v>
      </c>
      <c r="L360" s="16" t="s">
        <v>3234</v>
      </c>
    </row>
    <row r="361" spans="1:12" x14ac:dyDescent="0.35">
      <c r="A361" s="16" t="s">
        <v>1315</v>
      </c>
      <c r="B361" s="17">
        <v>45497.160243055558</v>
      </c>
      <c r="C361" s="16" t="s">
        <v>228</v>
      </c>
      <c r="D361" s="16" t="s">
        <v>229</v>
      </c>
      <c r="E361" s="16" t="s">
        <v>1316</v>
      </c>
      <c r="F361" s="16" t="s">
        <v>69</v>
      </c>
      <c r="G361" s="16" t="s">
        <v>231</v>
      </c>
      <c r="H361" s="16" t="s">
        <v>273</v>
      </c>
      <c r="I361" s="16" t="s">
        <v>1317</v>
      </c>
      <c r="J361" s="16" t="s">
        <v>223</v>
      </c>
      <c r="K361" s="16" t="s">
        <v>3239</v>
      </c>
      <c r="L361" s="16" t="s">
        <v>3235</v>
      </c>
    </row>
    <row r="362" spans="1:12" x14ac:dyDescent="0.35">
      <c r="A362" s="16" t="s">
        <v>1318</v>
      </c>
      <c r="B362" s="17">
        <v>46260.056828703702</v>
      </c>
      <c r="C362" s="16" t="s">
        <v>301</v>
      </c>
      <c r="D362" s="16" t="s">
        <v>302</v>
      </c>
      <c r="E362" s="16" t="s">
        <v>1319</v>
      </c>
      <c r="F362" s="16" t="s">
        <v>237</v>
      </c>
      <c r="G362" s="16" t="s">
        <v>231</v>
      </c>
      <c r="H362" s="16" t="s">
        <v>232</v>
      </c>
      <c r="I362" s="16" t="s">
        <v>1320</v>
      </c>
      <c r="J362" s="16" t="s">
        <v>223</v>
      </c>
      <c r="K362" s="16" t="s">
        <v>3248</v>
      </c>
      <c r="L362" s="16" t="s">
        <v>3231</v>
      </c>
    </row>
    <row r="363" spans="1:12" x14ac:dyDescent="0.35">
      <c r="A363" s="16" t="s">
        <v>1321</v>
      </c>
      <c r="B363" s="17">
        <v>45778.07476851852</v>
      </c>
      <c r="C363" s="16" t="s">
        <v>216</v>
      </c>
      <c r="D363" s="16" t="s">
        <v>217</v>
      </c>
      <c r="E363" s="16" t="s">
        <v>1322</v>
      </c>
      <c r="F363" s="16" t="s">
        <v>237</v>
      </c>
      <c r="G363" s="16" t="s">
        <v>231</v>
      </c>
      <c r="H363" s="16" t="s">
        <v>232</v>
      </c>
      <c r="I363" s="16" t="s">
        <v>1323</v>
      </c>
      <c r="J363" s="16" t="s">
        <v>249</v>
      </c>
      <c r="K363" s="16" t="s">
        <v>3253</v>
      </c>
      <c r="L363" s="16" t="s">
        <v>3234</v>
      </c>
    </row>
    <row r="364" spans="1:12" x14ac:dyDescent="0.35">
      <c r="A364" s="16" t="s">
        <v>1324</v>
      </c>
      <c r="B364" s="17">
        <v>45493.345810185187</v>
      </c>
      <c r="C364" s="16" t="s">
        <v>301</v>
      </c>
      <c r="D364" s="16" t="s">
        <v>302</v>
      </c>
      <c r="E364" s="16" t="s">
        <v>1325</v>
      </c>
      <c r="F364" s="16" t="s">
        <v>237</v>
      </c>
      <c r="G364" s="16" t="s">
        <v>244</v>
      </c>
      <c r="H364" s="16" t="s">
        <v>238</v>
      </c>
      <c r="I364" s="16" t="s">
        <v>1326</v>
      </c>
      <c r="J364" s="16" t="s">
        <v>249</v>
      </c>
      <c r="K364" s="16" t="s">
        <v>3249</v>
      </c>
      <c r="L364" s="16" t="s">
        <v>3232</v>
      </c>
    </row>
    <row r="365" spans="1:12" x14ac:dyDescent="0.35">
      <c r="A365" s="16" t="s">
        <v>1327</v>
      </c>
      <c r="B365" s="17">
        <v>45676.670092592591</v>
      </c>
      <c r="C365" s="16" t="s">
        <v>260</v>
      </c>
      <c r="D365" s="16" t="s">
        <v>261</v>
      </c>
      <c r="E365" s="16" t="s">
        <v>1328</v>
      </c>
      <c r="F365" s="16" t="s">
        <v>237</v>
      </c>
      <c r="G365" s="16" t="s">
        <v>244</v>
      </c>
      <c r="H365" s="16" t="s">
        <v>273</v>
      </c>
      <c r="I365" s="16" t="s">
        <v>1329</v>
      </c>
      <c r="J365" s="16" t="s">
        <v>249</v>
      </c>
      <c r="K365" s="16" t="s">
        <v>3254</v>
      </c>
      <c r="L365" s="16" t="s">
        <v>3232</v>
      </c>
    </row>
    <row r="366" spans="1:12" x14ac:dyDescent="0.35">
      <c r="A366" s="16" t="s">
        <v>1330</v>
      </c>
      <c r="B366" s="17">
        <v>45426.471979166665</v>
      </c>
      <c r="C366" s="16" t="s">
        <v>216</v>
      </c>
      <c r="D366" s="16" t="s">
        <v>217</v>
      </c>
      <c r="E366" s="16" t="s">
        <v>1331</v>
      </c>
      <c r="F366" s="16" t="s">
        <v>237</v>
      </c>
      <c r="G366" s="16" t="s">
        <v>220</v>
      </c>
      <c r="H366" s="16" t="s">
        <v>273</v>
      </c>
      <c r="I366" s="16" t="s">
        <v>1332</v>
      </c>
      <c r="J366" s="16" t="s">
        <v>270</v>
      </c>
      <c r="K366" s="16" t="s">
        <v>3250</v>
      </c>
      <c r="L366" s="16" t="s">
        <v>3231</v>
      </c>
    </row>
    <row r="367" spans="1:12" x14ac:dyDescent="0.35">
      <c r="A367" s="16" t="s">
        <v>1333</v>
      </c>
      <c r="B367" s="17">
        <v>45410.378483796296</v>
      </c>
      <c r="C367" s="16" t="s">
        <v>228</v>
      </c>
      <c r="D367" s="16" t="s">
        <v>229</v>
      </c>
      <c r="E367" s="16" t="s">
        <v>1334</v>
      </c>
      <c r="F367" s="16" t="s">
        <v>237</v>
      </c>
      <c r="G367" s="16" t="s">
        <v>220</v>
      </c>
      <c r="H367" s="16" t="s">
        <v>277</v>
      </c>
      <c r="I367" s="16" t="s">
        <v>1335</v>
      </c>
      <c r="J367" s="16" t="s">
        <v>234</v>
      </c>
      <c r="K367" s="16" t="s">
        <v>3251</v>
      </c>
      <c r="L367" s="16" t="s">
        <v>3231</v>
      </c>
    </row>
    <row r="368" spans="1:12" x14ac:dyDescent="0.35">
      <c r="A368" s="16" t="s">
        <v>1336</v>
      </c>
      <c r="B368" s="17">
        <v>46326.602175925924</v>
      </c>
      <c r="C368" s="16" t="s">
        <v>301</v>
      </c>
      <c r="D368" s="16" t="s">
        <v>302</v>
      </c>
      <c r="E368" s="16" t="s">
        <v>1337</v>
      </c>
      <c r="F368" s="16" t="s">
        <v>69</v>
      </c>
      <c r="G368" s="16" t="s">
        <v>244</v>
      </c>
      <c r="H368" s="16" t="s">
        <v>238</v>
      </c>
      <c r="I368" s="16" t="s">
        <v>1338</v>
      </c>
      <c r="J368" s="16" t="s">
        <v>249</v>
      </c>
      <c r="K368" s="16" t="s">
        <v>3251</v>
      </c>
      <c r="L368" s="16" t="s">
        <v>3231</v>
      </c>
    </row>
    <row r="369" spans="1:12" x14ac:dyDescent="0.35">
      <c r="A369" s="16" t="s">
        <v>1339</v>
      </c>
      <c r="B369" s="17">
        <v>45655.719953703701</v>
      </c>
      <c r="C369" s="16" t="s">
        <v>260</v>
      </c>
      <c r="D369" s="16" t="s">
        <v>261</v>
      </c>
      <c r="E369" s="16" t="s">
        <v>1340</v>
      </c>
      <c r="F369" s="16" t="s">
        <v>219</v>
      </c>
      <c r="G369" s="16" t="s">
        <v>231</v>
      </c>
      <c r="H369" s="16" t="s">
        <v>273</v>
      </c>
      <c r="I369" s="16" t="s">
        <v>1341</v>
      </c>
      <c r="J369" s="16" t="s">
        <v>249</v>
      </c>
      <c r="K369" s="16" t="s">
        <v>3233</v>
      </c>
      <c r="L369" s="16" t="s">
        <v>3230</v>
      </c>
    </row>
    <row r="370" spans="1:12" x14ac:dyDescent="0.35">
      <c r="A370" s="16" t="s">
        <v>1342</v>
      </c>
      <c r="B370" s="17">
        <v>46083.075312499997</v>
      </c>
      <c r="C370" s="16" t="s">
        <v>216</v>
      </c>
      <c r="D370" s="16" t="s">
        <v>217</v>
      </c>
      <c r="E370" s="16" t="s">
        <v>1343</v>
      </c>
      <c r="F370" s="16" t="s">
        <v>219</v>
      </c>
      <c r="G370" s="16" t="s">
        <v>220</v>
      </c>
      <c r="H370" s="16" t="s">
        <v>238</v>
      </c>
      <c r="I370" s="16" t="s">
        <v>1344</v>
      </c>
      <c r="J370" s="16" t="s">
        <v>234</v>
      </c>
      <c r="K370" s="16" t="s">
        <v>3252</v>
      </c>
      <c r="L370" s="16" t="s">
        <v>3232</v>
      </c>
    </row>
    <row r="371" spans="1:12" x14ac:dyDescent="0.35">
      <c r="A371" s="16" t="s">
        <v>1345</v>
      </c>
      <c r="B371" s="17">
        <v>46343.030416666668</v>
      </c>
      <c r="C371" s="16" t="s">
        <v>228</v>
      </c>
      <c r="D371" s="16" t="s">
        <v>229</v>
      </c>
      <c r="E371" s="16" t="s">
        <v>1346</v>
      </c>
      <c r="F371" s="16" t="s">
        <v>69</v>
      </c>
      <c r="G371" s="16" t="s">
        <v>231</v>
      </c>
      <c r="H371" s="16" t="s">
        <v>238</v>
      </c>
      <c r="I371" s="16" t="s">
        <v>1347</v>
      </c>
      <c r="J371" s="16" t="s">
        <v>234</v>
      </c>
      <c r="K371" s="16" t="s">
        <v>3249</v>
      </c>
      <c r="L371" s="16" t="s">
        <v>3232</v>
      </c>
    </row>
    <row r="372" spans="1:12" x14ac:dyDescent="0.35">
      <c r="A372" s="16" t="s">
        <v>1348</v>
      </c>
      <c r="B372" s="17">
        <v>45808.92287037037</v>
      </c>
      <c r="C372" s="16" t="s">
        <v>241</v>
      </c>
      <c r="D372" s="16" t="s">
        <v>242</v>
      </c>
      <c r="E372" s="16" t="s">
        <v>1349</v>
      </c>
      <c r="F372" s="16" t="s">
        <v>219</v>
      </c>
      <c r="G372" s="16" t="s">
        <v>244</v>
      </c>
      <c r="H372" s="16" t="s">
        <v>221</v>
      </c>
      <c r="I372" s="16" t="s">
        <v>1350</v>
      </c>
      <c r="J372" s="16" t="s">
        <v>223</v>
      </c>
      <c r="K372" s="16" t="s">
        <v>3247</v>
      </c>
      <c r="L372" s="16" t="s">
        <v>3234</v>
      </c>
    </row>
    <row r="373" spans="1:12" x14ac:dyDescent="0.35">
      <c r="A373" s="16" t="s">
        <v>1351</v>
      </c>
      <c r="B373" s="17">
        <v>45738.707997685182</v>
      </c>
      <c r="C373" s="16" t="s">
        <v>301</v>
      </c>
      <c r="D373" s="16" t="s">
        <v>302</v>
      </c>
      <c r="E373" s="16" t="s">
        <v>1352</v>
      </c>
      <c r="F373" s="16" t="s">
        <v>219</v>
      </c>
      <c r="G373" s="16" t="s">
        <v>244</v>
      </c>
      <c r="H373" s="16" t="s">
        <v>232</v>
      </c>
      <c r="I373" s="16" t="s">
        <v>1353</v>
      </c>
      <c r="J373" s="16" t="s">
        <v>270</v>
      </c>
      <c r="K373" s="16" t="s">
        <v>3249</v>
      </c>
      <c r="L373" s="16" t="s">
        <v>3232</v>
      </c>
    </row>
    <row r="374" spans="1:12" x14ac:dyDescent="0.35">
      <c r="A374" s="16" t="s">
        <v>1354</v>
      </c>
      <c r="B374" s="17">
        <v>45870.452789351853</v>
      </c>
      <c r="C374" s="16" t="s">
        <v>216</v>
      </c>
      <c r="D374" s="16" t="s">
        <v>217</v>
      </c>
      <c r="E374" s="16" t="s">
        <v>1355</v>
      </c>
      <c r="F374" s="16" t="s">
        <v>69</v>
      </c>
      <c r="G374" s="16" t="s">
        <v>231</v>
      </c>
      <c r="H374" s="16" t="s">
        <v>273</v>
      </c>
      <c r="I374" s="16" t="s">
        <v>1356</v>
      </c>
      <c r="J374" s="16" t="s">
        <v>249</v>
      </c>
      <c r="K374" s="16" t="s">
        <v>3257</v>
      </c>
      <c r="L374" s="16" t="s">
        <v>3234</v>
      </c>
    </row>
    <row r="375" spans="1:12" x14ac:dyDescent="0.35">
      <c r="A375" s="16" t="s">
        <v>1357</v>
      </c>
      <c r="B375" s="17">
        <v>45903.285740740743</v>
      </c>
      <c r="C375" s="16" t="s">
        <v>301</v>
      </c>
      <c r="D375" s="16" t="s">
        <v>302</v>
      </c>
      <c r="E375" s="16" t="s">
        <v>1358</v>
      </c>
      <c r="F375" s="16" t="s">
        <v>219</v>
      </c>
      <c r="G375" s="16" t="s">
        <v>220</v>
      </c>
      <c r="H375" s="16" t="s">
        <v>238</v>
      </c>
      <c r="I375" s="16" t="s">
        <v>1359</v>
      </c>
      <c r="J375" s="16" t="s">
        <v>223</v>
      </c>
      <c r="K375" s="16" t="s">
        <v>3229</v>
      </c>
      <c r="L375" s="16" t="s">
        <v>3230</v>
      </c>
    </row>
    <row r="376" spans="1:12" x14ac:dyDescent="0.35">
      <c r="A376" s="16" t="s">
        <v>1360</v>
      </c>
      <c r="B376" s="17">
        <v>46310.448437500003</v>
      </c>
      <c r="C376" s="16" t="s">
        <v>301</v>
      </c>
      <c r="D376" s="16" t="s">
        <v>302</v>
      </c>
      <c r="E376" s="16" t="s">
        <v>1361</v>
      </c>
      <c r="F376" s="16" t="s">
        <v>237</v>
      </c>
      <c r="G376" s="16" t="s">
        <v>231</v>
      </c>
      <c r="H376" s="16" t="s">
        <v>277</v>
      </c>
      <c r="I376" s="16" t="s">
        <v>1362</v>
      </c>
      <c r="J376" s="16" t="s">
        <v>270</v>
      </c>
      <c r="K376" s="16" t="s">
        <v>3241</v>
      </c>
      <c r="L376" s="16" t="s">
        <v>3231</v>
      </c>
    </row>
    <row r="377" spans="1:12" x14ac:dyDescent="0.35">
      <c r="A377" s="16" t="s">
        <v>1363</v>
      </c>
      <c r="B377" s="17">
        <v>45994.337326388886</v>
      </c>
      <c r="C377" s="16" t="s">
        <v>241</v>
      </c>
      <c r="D377" s="16" t="s">
        <v>242</v>
      </c>
      <c r="E377" s="16" t="s">
        <v>1364</v>
      </c>
      <c r="F377" s="16" t="s">
        <v>219</v>
      </c>
      <c r="G377" s="16" t="s">
        <v>244</v>
      </c>
      <c r="H377" s="16" t="s">
        <v>273</v>
      </c>
      <c r="I377" s="16" t="s">
        <v>1365</v>
      </c>
      <c r="J377" s="16" t="s">
        <v>249</v>
      </c>
      <c r="K377" s="16" t="s">
        <v>3246</v>
      </c>
      <c r="L377" s="16" t="s">
        <v>3234</v>
      </c>
    </row>
    <row r="378" spans="1:12" x14ac:dyDescent="0.35">
      <c r="A378" s="16" t="s">
        <v>1366</v>
      </c>
      <c r="B378" s="17">
        <v>45662.445671296293</v>
      </c>
      <c r="C378" s="16" t="s">
        <v>241</v>
      </c>
      <c r="D378" s="16" t="s">
        <v>242</v>
      </c>
      <c r="E378" s="16" t="s">
        <v>1367</v>
      </c>
      <c r="F378" s="16" t="s">
        <v>237</v>
      </c>
      <c r="G378" s="16" t="s">
        <v>220</v>
      </c>
      <c r="H378" s="16" t="s">
        <v>238</v>
      </c>
      <c r="I378" s="16" t="s">
        <v>1368</v>
      </c>
      <c r="J378" s="16" t="s">
        <v>234</v>
      </c>
      <c r="K378" s="16" t="s">
        <v>3251</v>
      </c>
      <c r="L378" s="16" t="s">
        <v>3231</v>
      </c>
    </row>
    <row r="379" spans="1:12" x14ac:dyDescent="0.35">
      <c r="A379" s="16" t="s">
        <v>1369</v>
      </c>
      <c r="B379" s="17">
        <v>46019.338796296295</v>
      </c>
      <c r="C379" s="16" t="s">
        <v>301</v>
      </c>
      <c r="D379" s="16" t="s">
        <v>302</v>
      </c>
      <c r="E379" s="16" t="s">
        <v>1370</v>
      </c>
      <c r="F379" s="16" t="s">
        <v>237</v>
      </c>
      <c r="G379" s="16" t="s">
        <v>231</v>
      </c>
      <c r="H379" s="16" t="s">
        <v>221</v>
      </c>
      <c r="I379" s="16" t="s">
        <v>1371</v>
      </c>
      <c r="J379" s="16" t="s">
        <v>249</v>
      </c>
      <c r="K379" s="16" t="s">
        <v>3256</v>
      </c>
      <c r="L379" s="16" t="s">
        <v>3231</v>
      </c>
    </row>
    <row r="380" spans="1:12" x14ac:dyDescent="0.35">
      <c r="A380" s="16" t="s">
        <v>1372</v>
      </c>
      <c r="B380" s="17">
        <v>45401.962395833332</v>
      </c>
      <c r="C380" s="16" t="s">
        <v>260</v>
      </c>
      <c r="D380" s="16" t="s">
        <v>261</v>
      </c>
      <c r="E380" s="16" t="s">
        <v>1373</v>
      </c>
      <c r="F380" s="16" t="s">
        <v>219</v>
      </c>
      <c r="G380" s="16" t="s">
        <v>244</v>
      </c>
      <c r="H380" s="16" t="s">
        <v>221</v>
      </c>
      <c r="I380" s="16" t="s">
        <v>1374</v>
      </c>
      <c r="J380" s="16" t="s">
        <v>234</v>
      </c>
      <c r="K380" s="16" t="s">
        <v>3244</v>
      </c>
      <c r="L380" s="16" t="s">
        <v>3235</v>
      </c>
    </row>
    <row r="381" spans="1:12" x14ac:dyDescent="0.35">
      <c r="A381" s="16" t="s">
        <v>1375</v>
      </c>
      <c r="B381" s="17">
        <v>46377.452615740738</v>
      </c>
      <c r="C381" s="16" t="s">
        <v>241</v>
      </c>
      <c r="D381" s="16" t="s">
        <v>242</v>
      </c>
      <c r="E381" s="16" t="s">
        <v>1376</v>
      </c>
      <c r="F381" s="16" t="s">
        <v>69</v>
      </c>
      <c r="G381" s="16" t="s">
        <v>220</v>
      </c>
      <c r="H381" s="16" t="s">
        <v>221</v>
      </c>
      <c r="I381" s="16" t="s">
        <v>1377</v>
      </c>
      <c r="J381" s="16" t="s">
        <v>249</v>
      </c>
      <c r="K381" s="16" t="s">
        <v>3256</v>
      </c>
      <c r="L381" s="16" t="s">
        <v>3231</v>
      </c>
    </row>
    <row r="382" spans="1:12" x14ac:dyDescent="0.35">
      <c r="A382" s="16" t="s">
        <v>1378</v>
      </c>
      <c r="B382" s="17">
        <v>45585.47996527778</v>
      </c>
      <c r="C382" s="16" t="s">
        <v>260</v>
      </c>
      <c r="D382" s="16" t="s">
        <v>261</v>
      </c>
      <c r="E382" s="16" t="s">
        <v>1379</v>
      </c>
      <c r="F382" s="16" t="s">
        <v>69</v>
      </c>
      <c r="G382" s="16" t="s">
        <v>231</v>
      </c>
      <c r="H382" s="16" t="s">
        <v>273</v>
      </c>
      <c r="I382" s="16" t="s">
        <v>1380</v>
      </c>
      <c r="J382" s="16" t="s">
        <v>234</v>
      </c>
      <c r="K382" s="16" t="s">
        <v>3258</v>
      </c>
      <c r="L382" s="16" t="s">
        <v>3235</v>
      </c>
    </row>
    <row r="383" spans="1:12" x14ac:dyDescent="0.35">
      <c r="A383" s="16" t="s">
        <v>1381</v>
      </c>
      <c r="B383" s="17">
        <v>46217.414942129632</v>
      </c>
      <c r="C383" s="16" t="s">
        <v>301</v>
      </c>
      <c r="D383" s="16" t="s">
        <v>302</v>
      </c>
      <c r="E383" s="16" t="s">
        <v>1382</v>
      </c>
      <c r="F383" s="16" t="s">
        <v>69</v>
      </c>
      <c r="G383" s="16" t="s">
        <v>244</v>
      </c>
      <c r="H383" s="16" t="s">
        <v>221</v>
      </c>
      <c r="I383" s="16" t="s">
        <v>1383</v>
      </c>
      <c r="J383" s="16" t="s">
        <v>270</v>
      </c>
      <c r="K383" s="16" t="s">
        <v>3256</v>
      </c>
      <c r="L383" s="16" t="s">
        <v>3231</v>
      </c>
    </row>
    <row r="384" spans="1:12" x14ac:dyDescent="0.35">
      <c r="A384" s="16" t="s">
        <v>1384</v>
      </c>
      <c r="B384" s="17">
        <v>46171.611956018518</v>
      </c>
      <c r="C384" s="16" t="s">
        <v>228</v>
      </c>
      <c r="D384" s="16" t="s">
        <v>229</v>
      </c>
      <c r="E384" s="16" t="s">
        <v>1385</v>
      </c>
      <c r="F384" s="16" t="s">
        <v>237</v>
      </c>
      <c r="G384" s="16" t="s">
        <v>231</v>
      </c>
      <c r="H384" s="16" t="s">
        <v>273</v>
      </c>
      <c r="I384" s="16" t="s">
        <v>1386</v>
      </c>
      <c r="J384" s="16" t="s">
        <v>234</v>
      </c>
      <c r="K384" s="16" t="s">
        <v>3250</v>
      </c>
      <c r="L384" s="16" t="s">
        <v>3231</v>
      </c>
    </row>
    <row r="385" spans="1:12" x14ac:dyDescent="0.35">
      <c r="A385" s="16" t="s">
        <v>1387</v>
      </c>
      <c r="B385" s="17">
        <v>46379.2891087963</v>
      </c>
      <c r="C385" s="16" t="s">
        <v>301</v>
      </c>
      <c r="D385" s="16" t="s">
        <v>302</v>
      </c>
      <c r="E385" s="16" t="s">
        <v>1388</v>
      </c>
      <c r="F385" s="16" t="s">
        <v>219</v>
      </c>
      <c r="G385" s="16" t="s">
        <v>220</v>
      </c>
      <c r="H385" s="16" t="s">
        <v>221</v>
      </c>
      <c r="I385" s="16" t="s">
        <v>1389</v>
      </c>
      <c r="J385" s="16" t="s">
        <v>249</v>
      </c>
      <c r="K385" s="16" t="s">
        <v>3241</v>
      </c>
      <c r="L385" s="16" t="s">
        <v>3231</v>
      </c>
    </row>
    <row r="386" spans="1:12" x14ac:dyDescent="0.35">
      <c r="A386" s="16" t="s">
        <v>1390</v>
      </c>
      <c r="B386" s="17">
        <v>46077.76357638889</v>
      </c>
      <c r="C386" s="16" t="s">
        <v>301</v>
      </c>
      <c r="D386" s="16" t="s">
        <v>302</v>
      </c>
      <c r="E386" s="16" t="s">
        <v>1391</v>
      </c>
      <c r="F386" s="16" t="s">
        <v>237</v>
      </c>
      <c r="G386" s="16" t="s">
        <v>220</v>
      </c>
      <c r="H386" s="16" t="s">
        <v>277</v>
      </c>
      <c r="I386" s="16" t="s">
        <v>1392</v>
      </c>
      <c r="J386" s="16" t="s">
        <v>249</v>
      </c>
      <c r="K386" s="16" t="s">
        <v>3238</v>
      </c>
      <c r="L386" s="16" t="s">
        <v>3230</v>
      </c>
    </row>
    <row r="387" spans="1:12" x14ac:dyDescent="0.35">
      <c r="A387" s="16" t="s">
        <v>1393</v>
      </c>
      <c r="B387" s="17">
        <v>46365.512499999997</v>
      </c>
      <c r="C387" s="16" t="s">
        <v>301</v>
      </c>
      <c r="D387" s="16" t="s">
        <v>302</v>
      </c>
      <c r="E387" s="16" t="s">
        <v>1394</v>
      </c>
      <c r="F387" s="16" t="s">
        <v>219</v>
      </c>
      <c r="G387" s="16" t="s">
        <v>220</v>
      </c>
      <c r="H387" s="16" t="s">
        <v>232</v>
      </c>
      <c r="I387" s="16" t="s">
        <v>1395</v>
      </c>
      <c r="J387" s="16" t="s">
        <v>249</v>
      </c>
      <c r="K387" s="16" t="s">
        <v>3248</v>
      </c>
      <c r="L387" s="16" t="s">
        <v>3231</v>
      </c>
    </row>
    <row r="388" spans="1:12" x14ac:dyDescent="0.35">
      <c r="A388" s="16" t="s">
        <v>1396</v>
      </c>
      <c r="B388" s="17">
        <v>45331.346516203703</v>
      </c>
      <c r="C388" s="16" t="s">
        <v>228</v>
      </c>
      <c r="D388" s="16" t="s">
        <v>229</v>
      </c>
      <c r="E388" s="16" t="s">
        <v>1397</v>
      </c>
      <c r="F388" s="16" t="s">
        <v>219</v>
      </c>
      <c r="G388" s="16" t="s">
        <v>220</v>
      </c>
      <c r="H388" s="16" t="s">
        <v>277</v>
      </c>
      <c r="I388" s="16" t="s">
        <v>1398</v>
      </c>
      <c r="J388" s="16" t="s">
        <v>270</v>
      </c>
      <c r="K388" s="16" t="s">
        <v>3255</v>
      </c>
      <c r="L388" s="16" t="s">
        <v>3235</v>
      </c>
    </row>
    <row r="389" spans="1:12" x14ac:dyDescent="0.35">
      <c r="A389" s="16" t="s">
        <v>1399</v>
      </c>
      <c r="B389" s="17">
        <v>45544.556122685186</v>
      </c>
      <c r="C389" s="16" t="s">
        <v>241</v>
      </c>
      <c r="D389" s="16" t="s">
        <v>242</v>
      </c>
      <c r="E389" s="16" t="s">
        <v>1400</v>
      </c>
      <c r="F389" s="16" t="s">
        <v>69</v>
      </c>
      <c r="G389" s="16" t="s">
        <v>231</v>
      </c>
      <c r="H389" s="16" t="s">
        <v>273</v>
      </c>
      <c r="I389" s="16" t="s">
        <v>1401</v>
      </c>
      <c r="J389" s="16" t="s">
        <v>270</v>
      </c>
      <c r="K389" s="16" t="s">
        <v>3242</v>
      </c>
      <c r="L389" s="16" t="s">
        <v>3232</v>
      </c>
    </row>
    <row r="390" spans="1:12" x14ac:dyDescent="0.35">
      <c r="A390" s="16" t="s">
        <v>1402</v>
      </c>
      <c r="B390" s="17">
        <v>45332.073171296295</v>
      </c>
      <c r="C390" s="16" t="s">
        <v>241</v>
      </c>
      <c r="D390" s="16" t="s">
        <v>242</v>
      </c>
      <c r="E390" s="16" t="s">
        <v>1403</v>
      </c>
      <c r="F390" s="16" t="s">
        <v>237</v>
      </c>
      <c r="G390" s="16" t="s">
        <v>231</v>
      </c>
      <c r="H390" s="16" t="s">
        <v>221</v>
      </c>
      <c r="I390" s="16" t="s">
        <v>1404</v>
      </c>
      <c r="J390" s="16" t="s">
        <v>249</v>
      </c>
      <c r="K390" s="16" t="s">
        <v>3253</v>
      </c>
      <c r="L390" s="16" t="s">
        <v>3234</v>
      </c>
    </row>
    <row r="391" spans="1:12" x14ac:dyDescent="0.35">
      <c r="A391" s="16" t="s">
        <v>1405</v>
      </c>
      <c r="B391" s="17">
        <v>45311.456793981481</v>
      </c>
      <c r="C391" s="16" t="s">
        <v>260</v>
      </c>
      <c r="D391" s="16" t="s">
        <v>261</v>
      </c>
      <c r="E391" s="16" t="s">
        <v>1406</v>
      </c>
      <c r="F391" s="16" t="s">
        <v>219</v>
      </c>
      <c r="G391" s="16" t="s">
        <v>220</v>
      </c>
      <c r="H391" s="16" t="s">
        <v>277</v>
      </c>
      <c r="I391" s="16" t="s">
        <v>1407</v>
      </c>
      <c r="J391" s="16" t="s">
        <v>234</v>
      </c>
      <c r="K391" s="16" t="s">
        <v>3244</v>
      </c>
      <c r="L391" s="16" t="s">
        <v>3235</v>
      </c>
    </row>
    <row r="392" spans="1:12" x14ac:dyDescent="0.35">
      <c r="A392" s="16" t="s">
        <v>1408</v>
      </c>
      <c r="B392" s="17">
        <v>45533.428865740738</v>
      </c>
      <c r="C392" s="16" t="s">
        <v>260</v>
      </c>
      <c r="D392" s="16" t="s">
        <v>261</v>
      </c>
      <c r="E392" s="16" t="s">
        <v>1409</v>
      </c>
      <c r="F392" s="16" t="s">
        <v>69</v>
      </c>
      <c r="G392" s="16" t="s">
        <v>231</v>
      </c>
      <c r="H392" s="16" t="s">
        <v>221</v>
      </c>
      <c r="I392" s="16" t="s">
        <v>1410</v>
      </c>
      <c r="J392" s="16" t="s">
        <v>234</v>
      </c>
      <c r="K392" s="16" t="s">
        <v>3258</v>
      </c>
      <c r="L392" s="16" t="s">
        <v>3235</v>
      </c>
    </row>
    <row r="393" spans="1:12" x14ac:dyDescent="0.35">
      <c r="A393" s="16" t="s">
        <v>1411</v>
      </c>
      <c r="B393" s="17">
        <v>46025.621608796297</v>
      </c>
      <c r="C393" s="16" t="s">
        <v>301</v>
      </c>
      <c r="D393" s="16" t="s">
        <v>302</v>
      </c>
      <c r="E393" s="16" t="s">
        <v>1412</v>
      </c>
      <c r="F393" s="16" t="s">
        <v>69</v>
      </c>
      <c r="G393" s="16" t="s">
        <v>220</v>
      </c>
      <c r="H393" s="16" t="s">
        <v>273</v>
      </c>
      <c r="I393" s="16" t="s">
        <v>1413</v>
      </c>
      <c r="J393" s="16" t="s">
        <v>234</v>
      </c>
      <c r="K393" s="16" t="s">
        <v>3238</v>
      </c>
      <c r="L393" s="16" t="s">
        <v>3230</v>
      </c>
    </row>
    <row r="394" spans="1:12" x14ac:dyDescent="0.35">
      <c r="A394" s="16" t="s">
        <v>1414</v>
      </c>
      <c r="B394" s="17">
        <v>45297.01934027778</v>
      </c>
      <c r="C394" s="16" t="s">
        <v>260</v>
      </c>
      <c r="D394" s="16" t="s">
        <v>261</v>
      </c>
      <c r="E394" s="16" t="s">
        <v>1415</v>
      </c>
      <c r="F394" s="16" t="s">
        <v>69</v>
      </c>
      <c r="G394" s="16" t="s">
        <v>220</v>
      </c>
      <c r="H394" s="16" t="s">
        <v>238</v>
      </c>
      <c r="I394" s="16" t="s">
        <v>1416</v>
      </c>
      <c r="J394" s="16" t="s">
        <v>270</v>
      </c>
      <c r="K394" s="16" t="s">
        <v>3241</v>
      </c>
      <c r="L394" s="16" t="s">
        <v>3231</v>
      </c>
    </row>
    <row r="395" spans="1:12" x14ac:dyDescent="0.35">
      <c r="A395" s="16" t="s">
        <v>1417</v>
      </c>
      <c r="B395" s="17">
        <v>45816.977476851855</v>
      </c>
      <c r="C395" s="16" t="s">
        <v>241</v>
      </c>
      <c r="D395" s="16" t="s">
        <v>242</v>
      </c>
      <c r="E395" s="16" t="s">
        <v>1418</v>
      </c>
      <c r="F395" s="16" t="s">
        <v>237</v>
      </c>
      <c r="G395" s="16" t="s">
        <v>231</v>
      </c>
      <c r="H395" s="16" t="s">
        <v>221</v>
      </c>
      <c r="I395" s="16" t="s">
        <v>1419</v>
      </c>
      <c r="J395" s="16" t="s">
        <v>270</v>
      </c>
      <c r="K395" s="16" t="s">
        <v>3241</v>
      </c>
      <c r="L395" s="16" t="s">
        <v>3231</v>
      </c>
    </row>
    <row r="396" spans="1:12" x14ac:dyDescent="0.35">
      <c r="A396" s="16" t="s">
        <v>1420</v>
      </c>
      <c r="B396" s="17">
        <v>45887.546458333331</v>
      </c>
      <c r="C396" s="16" t="s">
        <v>216</v>
      </c>
      <c r="D396" s="16" t="s">
        <v>217</v>
      </c>
      <c r="E396" s="16" t="s">
        <v>1421</v>
      </c>
      <c r="F396" s="16" t="s">
        <v>237</v>
      </c>
      <c r="G396" s="16" t="s">
        <v>231</v>
      </c>
      <c r="H396" s="16" t="s">
        <v>277</v>
      </c>
      <c r="I396" s="16" t="s">
        <v>1422</v>
      </c>
      <c r="J396" s="16" t="s">
        <v>270</v>
      </c>
      <c r="K396" s="16" t="s">
        <v>3248</v>
      </c>
      <c r="L396" s="16" t="s">
        <v>3231</v>
      </c>
    </row>
    <row r="397" spans="1:12" x14ac:dyDescent="0.35">
      <c r="A397" s="16" t="s">
        <v>1423</v>
      </c>
      <c r="B397" s="17">
        <v>45965.542372685188</v>
      </c>
      <c r="C397" s="16" t="s">
        <v>216</v>
      </c>
      <c r="D397" s="16" t="s">
        <v>217</v>
      </c>
      <c r="E397" s="16" t="s">
        <v>1424</v>
      </c>
      <c r="F397" s="16" t="s">
        <v>219</v>
      </c>
      <c r="G397" s="16" t="s">
        <v>231</v>
      </c>
      <c r="H397" s="16" t="s">
        <v>277</v>
      </c>
      <c r="I397" s="16" t="s">
        <v>1425</v>
      </c>
      <c r="J397" s="16" t="s">
        <v>249</v>
      </c>
      <c r="K397" s="16" t="s">
        <v>3255</v>
      </c>
      <c r="L397" s="16" t="s">
        <v>3235</v>
      </c>
    </row>
    <row r="398" spans="1:12" x14ac:dyDescent="0.35">
      <c r="A398" s="16" t="s">
        <v>1426</v>
      </c>
      <c r="B398" s="17">
        <v>46111.69258101852</v>
      </c>
      <c r="C398" s="16" t="s">
        <v>228</v>
      </c>
      <c r="D398" s="16" t="s">
        <v>229</v>
      </c>
      <c r="E398" s="16" t="s">
        <v>1427</v>
      </c>
      <c r="F398" s="16" t="s">
        <v>237</v>
      </c>
      <c r="G398" s="16" t="s">
        <v>244</v>
      </c>
      <c r="H398" s="16" t="s">
        <v>221</v>
      </c>
      <c r="I398" s="16" t="s">
        <v>1428</v>
      </c>
      <c r="J398" s="16" t="s">
        <v>234</v>
      </c>
      <c r="K398" s="16" t="s">
        <v>3248</v>
      </c>
      <c r="L398" s="16" t="s">
        <v>3231</v>
      </c>
    </row>
    <row r="399" spans="1:12" x14ac:dyDescent="0.35">
      <c r="A399" s="16" t="s">
        <v>1429</v>
      </c>
      <c r="B399" s="17">
        <v>45618.157326388886</v>
      </c>
      <c r="C399" s="16" t="s">
        <v>216</v>
      </c>
      <c r="D399" s="16" t="s">
        <v>217</v>
      </c>
      <c r="E399" s="16" t="s">
        <v>1430</v>
      </c>
      <c r="F399" s="16" t="s">
        <v>219</v>
      </c>
      <c r="G399" s="16" t="s">
        <v>231</v>
      </c>
      <c r="H399" s="16" t="s">
        <v>277</v>
      </c>
      <c r="I399" s="16" t="s">
        <v>1431</v>
      </c>
      <c r="J399" s="16" t="s">
        <v>223</v>
      </c>
      <c r="K399" s="16" t="s">
        <v>3233</v>
      </c>
      <c r="L399" s="16" t="s">
        <v>3230</v>
      </c>
    </row>
    <row r="400" spans="1:12" x14ac:dyDescent="0.35">
      <c r="A400" s="16" t="s">
        <v>1432</v>
      </c>
      <c r="B400" s="17">
        <v>45559.732847222222</v>
      </c>
      <c r="C400" s="16" t="s">
        <v>301</v>
      </c>
      <c r="D400" s="16" t="s">
        <v>302</v>
      </c>
      <c r="E400" s="16" t="s">
        <v>1433</v>
      </c>
      <c r="F400" s="16" t="s">
        <v>69</v>
      </c>
      <c r="G400" s="16" t="s">
        <v>231</v>
      </c>
      <c r="H400" s="16" t="s">
        <v>273</v>
      </c>
      <c r="I400" s="16" t="s">
        <v>1434</v>
      </c>
      <c r="J400" s="16" t="s">
        <v>270</v>
      </c>
      <c r="K400" s="16" t="s">
        <v>3241</v>
      </c>
      <c r="L400" s="16" t="s">
        <v>3231</v>
      </c>
    </row>
    <row r="401" spans="1:12" x14ac:dyDescent="0.35">
      <c r="A401" s="16" t="s">
        <v>1435</v>
      </c>
      <c r="B401" s="17">
        <v>46366.874791666669</v>
      </c>
      <c r="C401" s="16" t="s">
        <v>301</v>
      </c>
      <c r="D401" s="16" t="s">
        <v>302</v>
      </c>
      <c r="E401" s="16" t="s">
        <v>1436</v>
      </c>
      <c r="F401" s="16" t="s">
        <v>69</v>
      </c>
      <c r="G401" s="16" t="s">
        <v>244</v>
      </c>
      <c r="H401" s="16" t="s">
        <v>238</v>
      </c>
      <c r="I401" s="16" t="s">
        <v>1437</v>
      </c>
      <c r="J401" s="16" t="s">
        <v>270</v>
      </c>
      <c r="K401" s="16" t="s">
        <v>3243</v>
      </c>
      <c r="L401" s="16" t="s">
        <v>3234</v>
      </c>
    </row>
    <row r="402" spans="1:12" x14ac:dyDescent="0.35">
      <c r="A402" s="16" t="s">
        <v>1438</v>
      </c>
      <c r="B402" s="17">
        <v>46000.973032407404</v>
      </c>
      <c r="C402" s="16" t="s">
        <v>260</v>
      </c>
      <c r="D402" s="16" t="s">
        <v>261</v>
      </c>
      <c r="E402" s="16" t="s">
        <v>1439</v>
      </c>
      <c r="F402" s="16" t="s">
        <v>69</v>
      </c>
      <c r="G402" s="16" t="s">
        <v>244</v>
      </c>
      <c r="H402" s="16" t="s">
        <v>277</v>
      </c>
      <c r="I402" s="16" t="s">
        <v>1147</v>
      </c>
      <c r="J402" s="16" t="s">
        <v>234</v>
      </c>
      <c r="K402" s="16" t="s">
        <v>3233</v>
      </c>
      <c r="L402" s="16" t="s">
        <v>3230</v>
      </c>
    </row>
    <row r="403" spans="1:12" x14ac:dyDescent="0.35">
      <c r="A403" s="16" t="s">
        <v>1440</v>
      </c>
      <c r="B403" s="17">
        <v>45630.113564814812</v>
      </c>
      <c r="C403" s="16" t="s">
        <v>241</v>
      </c>
      <c r="D403" s="16" t="s">
        <v>242</v>
      </c>
      <c r="E403" s="16" t="s">
        <v>1441</v>
      </c>
      <c r="F403" s="16" t="s">
        <v>237</v>
      </c>
      <c r="G403" s="16" t="s">
        <v>220</v>
      </c>
      <c r="H403" s="16" t="s">
        <v>232</v>
      </c>
      <c r="I403" s="16" t="s">
        <v>1442</v>
      </c>
      <c r="J403" s="16" t="s">
        <v>270</v>
      </c>
      <c r="K403" s="16" t="s">
        <v>3256</v>
      </c>
      <c r="L403" s="16" t="s">
        <v>3231</v>
      </c>
    </row>
    <row r="404" spans="1:12" x14ac:dyDescent="0.35">
      <c r="A404" s="16" t="s">
        <v>1443</v>
      </c>
      <c r="B404" s="17">
        <v>46067.61178240741</v>
      </c>
      <c r="C404" s="16" t="s">
        <v>241</v>
      </c>
      <c r="D404" s="16" t="s">
        <v>242</v>
      </c>
      <c r="E404" s="16" t="s">
        <v>1444</v>
      </c>
      <c r="F404" s="16" t="s">
        <v>69</v>
      </c>
      <c r="G404" s="16" t="s">
        <v>231</v>
      </c>
      <c r="H404" s="16" t="s">
        <v>277</v>
      </c>
      <c r="I404" s="16" t="s">
        <v>1445</v>
      </c>
      <c r="J404" s="16" t="s">
        <v>223</v>
      </c>
      <c r="K404" s="16" t="s">
        <v>3257</v>
      </c>
      <c r="L404" s="16" t="s">
        <v>3234</v>
      </c>
    </row>
    <row r="405" spans="1:12" x14ac:dyDescent="0.35">
      <c r="A405" s="16" t="s">
        <v>1446</v>
      </c>
      <c r="B405" s="17">
        <v>45939.180081018516</v>
      </c>
      <c r="C405" s="16" t="s">
        <v>216</v>
      </c>
      <c r="D405" s="16" t="s">
        <v>217</v>
      </c>
      <c r="E405" s="16" t="s">
        <v>1447</v>
      </c>
      <c r="F405" s="16" t="s">
        <v>219</v>
      </c>
      <c r="G405" s="16" t="s">
        <v>244</v>
      </c>
      <c r="H405" s="16" t="s">
        <v>232</v>
      </c>
      <c r="I405" s="16" t="s">
        <v>1448</v>
      </c>
      <c r="J405" s="16" t="s">
        <v>223</v>
      </c>
      <c r="K405" s="16" t="s">
        <v>3241</v>
      </c>
      <c r="L405" s="16" t="s">
        <v>3231</v>
      </c>
    </row>
    <row r="406" spans="1:12" x14ac:dyDescent="0.35">
      <c r="A406" s="16" t="s">
        <v>1449</v>
      </c>
      <c r="B406" s="17">
        <v>45292.137881944444</v>
      </c>
      <c r="C406" s="16" t="s">
        <v>260</v>
      </c>
      <c r="D406" s="16" t="s">
        <v>261</v>
      </c>
      <c r="E406" s="16" t="s">
        <v>1450</v>
      </c>
      <c r="F406" s="16" t="s">
        <v>219</v>
      </c>
      <c r="G406" s="16" t="s">
        <v>244</v>
      </c>
      <c r="H406" s="16" t="s">
        <v>221</v>
      </c>
      <c r="I406" s="16" t="s">
        <v>1451</v>
      </c>
      <c r="J406" s="16" t="s">
        <v>234</v>
      </c>
      <c r="K406" s="16" t="s">
        <v>3237</v>
      </c>
      <c r="L406" s="16" t="s">
        <v>3230</v>
      </c>
    </row>
    <row r="407" spans="1:12" x14ac:dyDescent="0.35">
      <c r="A407" s="16" t="s">
        <v>1452</v>
      </c>
      <c r="B407" s="17">
        <v>45403.338171296295</v>
      </c>
      <c r="C407" s="16" t="s">
        <v>260</v>
      </c>
      <c r="D407" s="16" t="s">
        <v>261</v>
      </c>
      <c r="E407" s="16" t="s">
        <v>1453</v>
      </c>
      <c r="F407" s="16" t="s">
        <v>237</v>
      </c>
      <c r="G407" s="16" t="s">
        <v>244</v>
      </c>
      <c r="H407" s="16" t="s">
        <v>238</v>
      </c>
      <c r="I407" s="16" t="s">
        <v>1454</v>
      </c>
      <c r="J407" s="16" t="s">
        <v>249</v>
      </c>
      <c r="K407" s="16" t="s">
        <v>3243</v>
      </c>
      <c r="L407" s="16" t="s">
        <v>3234</v>
      </c>
    </row>
    <row r="408" spans="1:12" x14ac:dyDescent="0.35">
      <c r="A408" s="16" t="s">
        <v>1455</v>
      </c>
      <c r="B408" s="17">
        <v>45746.003321759257</v>
      </c>
      <c r="C408" s="16" t="s">
        <v>260</v>
      </c>
      <c r="D408" s="16" t="s">
        <v>261</v>
      </c>
      <c r="E408" s="16" t="s">
        <v>1456</v>
      </c>
      <c r="F408" s="16" t="s">
        <v>237</v>
      </c>
      <c r="G408" s="16" t="s">
        <v>244</v>
      </c>
      <c r="H408" s="16" t="s">
        <v>221</v>
      </c>
      <c r="I408" s="16" t="s">
        <v>1457</v>
      </c>
      <c r="J408" s="16" t="s">
        <v>249</v>
      </c>
      <c r="K408" s="16" t="s">
        <v>3236</v>
      </c>
      <c r="L408" s="16" t="s">
        <v>3230</v>
      </c>
    </row>
    <row r="409" spans="1:12" x14ac:dyDescent="0.35">
      <c r="A409" s="16" t="s">
        <v>1458</v>
      </c>
      <c r="B409" s="17">
        <v>46300.213055555556</v>
      </c>
      <c r="C409" s="16" t="s">
        <v>216</v>
      </c>
      <c r="D409" s="16" t="s">
        <v>217</v>
      </c>
      <c r="E409" s="16" t="s">
        <v>1459</v>
      </c>
      <c r="F409" s="16" t="s">
        <v>69</v>
      </c>
      <c r="G409" s="16" t="s">
        <v>231</v>
      </c>
      <c r="H409" s="16" t="s">
        <v>221</v>
      </c>
      <c r="I409" s="16" t="s">
        <v>1460</v>
      </c>
      <c r="J409" s="16" t="s">
        <v>270</v>
      </c>
      <c r="K409" s="16" t="s">
        <v>3243</v>
      </c>
      <c r="L409" s="16" t="s">
        <v>3234</v>
      </c>
    </row>
    <row r="410" spans="1:12" x14ac:dyDescent="0.35">
      <c r="A410" s="16" t="s">
        <v>1461</v>
      </c>
      <c r="B410" s="17">
        <v>45682.512650462966</v>
      </c>
      <c r="C410" s="16" t="s">
        <v>260</v>
      </c>
      <c r="D410" s="16" t="s">
        <v>261</v>
      </c>
      <c r="E410" s="16" t="s">
        <v>1462</v>
      </c>
      <c r="F410" s="16" t="s">
        <v>237</v>
      </c>
      <c r="G410" s="16" t="s">
        <v>220</v>
      </c>
      <c r="H410" s="16" t="s">
        <v>277</v>
      </c>
      <c r="I410" s="16" t="s">
        <v>1463</v>
      </c>
      <c r="J410" s="16" t="s">
        <v>223</v>
      </c>
      <c r="K410" s="16" t="s">
        <v>3259</v>
      </c>
      <c r="L410" s="16" t="s">
        <v>3235</v>
      </c>
    </row>
    <row r="411" spans="1:12" x14ac:dyDescent="0.35">
      <c r="A411" s="16" t="s">
        <v>1464</v>
      </c>
      <c r="B411" s="17">
        <v>46313.006574074076</v>
      </c>
      <c r="C411" s="16" t="s">
        <v>241</v>
      </c>
      <c r="D411" s="16" t="s">
        <v>242</v>
      </c>
      <c r="E411" s="16" t="s">
        <v>1465</v>
      </c>
      <c r="F411" s="16" t="s">
        <v>219</v>
      </c>
      <c r="G411" s="16" t="s">
        <v>220</v>
      </c>
      <c r="H411" s="16" t="s">
        <v>273</v>
      </c>
      <c r="I411" s="16" t="s">
        <v>1466</v>
      </c>
      <c r="J411" s="16" t="s">
        <v>223</v>
      </c>
      <c r="K411" s="16" t="s">
        <v>3242</v>
      </c>
      <c r="L411" s="16" t="s">
        <v>3232</v>
      </c>
    </row>
    <row r="412" spans="1:12" x14ac:dyDescent="0.35">
      <c r="A412" s="16" t="s">
        <v>1467</v>
      </c>
      <c r="B412" s="17">
        <v>45647.194756944446</v>
      </c>
      <c r="C412" s="16" t="s">
        <v>241</v>
      </c>
      <c r="D412" s="16" t="s">
        <v>242</v>
      </c>
      <c r="E412" s="16" t="s">
        <v>1468</v>
      </c>
      <c r="F412" s="16" t="s">
        <v>237</v>
      </c>
      <c r="G412" s="16" t="s">
        <v>244</v>
      </c>
      <c r="H412" s="16" t="s">
        <v>277</v>
      </c>
      <c r="I412" s="16" t="s">
        <v>1469</v>
      </c>
      <c r="J412" s="16" t="s">
        <v>223</v>
      </c>
      <c r="K412" s="16" t="s">
        <v>3258</v>
      </c>
      <c r="L412" s="16" t="s">
        <v>3235</v>
      </c>
    </row>
    <row r="413" spans="1:12" x14ac:dyDescent="0.35">
      <c r="A413" s="16" t="s">
        <v>1470</v>
      </c>
      <c r="B413" s="17">
        <v>45852.603576388887</v>
      </c>
      <c r="C413" s="16" t="s">
        <v>260</v>
      </c>
      <c r="D413" s="16" t="s">
        <v>261</v>
      </c>
      <c r="E413" s="16" t="s">
        <v>1471</v>
      </c>
      <c r="F413" s="16" t="s">
        <v>237</v>
      </c>
      <c r="G413" s="16" t="s">
        <v>231</v>
      </c>
      <c r="H413" s="16" t="s">
        <v>273</v>
      </c>
      <c r="I413" s="16" t="s">
        <v>1472</v>
      </c>
      <c r="J413" s="16" t="s">
        <v>223</v>
      </c>
      <c r="K413" s="16" t="s">
        <v>3238</v>
      </c>
      <c r="L413" s="16" t="s">
        <v>3230</v>
      </c>
    </row>
    <row r="414" spans="1:12" x14ac:dyDescent="0.35">
      <c r="A414" s="16" t="s">
        <v>1473</v>
      </c>
      <c r="B414" s="17">
        <v>45934.839803240742</v>
      </c>
      <c r="C414" s="16" t="s">
        <v>241</v>
      </c>
      <c r="D414" s="16" t="s">
        <v>242</v>
      </c>
      <c r="E414" s="16" t="s">
        <v>1474</v>
      </c>
      <c r="F414" s="16" t="s">
        <v>69</v>
      </c>
      <c r="G414" s="16" t="s">
        <v>220</v>
      </c>
      <c r="H414" s="16" t="s">
        <v>273</v>
      </c>
      <c r="I414" s="16" t="s">
        <v>1475</v>
      </c>
      <c r="J414" s="16" t="s">
        <v>249</v>
      </c>
      <c r="K414" s="16" t="s">
        <v>3233</v>
      </c>
      <c r="L414" s="16" t="s">
        <v>3230</v>
      </c>
    </row>
    <row r="415" spans="1:12" x14ac:dyDescent="0.35">
      <c r="A415" s="16" t="s">
        <v>1476</v>
      </c>
      <c r="B415" s="17">
        <v>46323.822974537034</v>
      </c>
      <c r="C415" s="16" t="s">
        <v>301</v>
      </c>
      <c r="D415" s="16" t="s">
        <v>302</v>
      </c>
      <c r="E415" s="16" t="s">
        <v>1477</v>
      </c>
      <c r="F415" s="16" t="s">
        <v>237</v>
      </c>
      <c r="G415" s="16" t="s">
        <v>244</v>
      </c>
      <c r="H415" s="16" t="s">
        <v>277</v>
      </c>
      <c r="I415" s="16" t="s">
        <v>1478</v>
      </c>
      <c r="J415" s="16" t="s">
        <v>223</v>
      </c>
      <c r="K415" s="16" t="s">
        <v>3247</v>
      </c>
      <c r="L415" s="16" t="s">
        <v>3234</v>
      </c>
    </row>
    <row r="416" spans="1:12" x14ac:dyDescent="0.35">
      <c r="A416" s="16" t="s">
        <v>1479</v>
      </c>
      <c r="B416" s="17">
        <v>46385.433761574073</v>
      </c>
      <c r="C416" s="16" t="s">
        <v>241</v>
      </c>
      <c r="D416" s="16" t="s">
        <v>242</v>
      </c>
      <c r="E416" s="16" t="s">
        <v>1480</v>
      </c>
      <c r="F416" s="16" t="s">
        <v>69</v>
      </c>
      <c r="G416" s="16" t="s">
        <v>244</v>
      </c>
      <c r="H416" s="16" t="s">
        <v>273</v>
      </c>
      <c r="I416" s="16" t="s">
        <v>1481</v>
      </c>
      <c r="J416" s="16" t="s">
        <v>223</v>
      </c>
      <c r="K416" s="16" t="s">
        <v>3244</v>
      </c>
      <c r="L416" s="16" t="s">
        <v>3235</v>
      </c>
    </row>
    <row r="417" spans="1:12" x14ac:dyDescent="0.35">
      <c r="A417" s="16" t="s">
        <v>1482</v>
      </c>
      <c r="B417" s="17">
        <v>45701.405011574076</v>
      </c>
      <c r="C417" s="16" t="s">
        <v>228</v>
      </c>
      <c r="D417" s="16" t="s">
        <v>229</v>
      </c>
      <c r="E417" s="16" t="s">
        <v>1483</v>
      </c>
      <c r="F417" s="16" t="s">
        <v>237</v>
      </c>
      <c r="G417" s="16" t="s">
        <v>244</v>
      </c>
      <c r="H417" s="16" t="s">
        <v>221</v>
      </c>
      <c r="I417" s="16" t="s">
        <v>1484</v>
      </c>
      <c r="J417" s="16" t="s">
        <v>270</v>
      </c>
      <c r="K417" s="16" t="s">
        <v>3245</v>
      </c>
      <c r="L417" s="16" t="s">
        <v>3232</v>
      </c>
    </row>
    <row r="418" spans="1:12" x14ac:dyDescent="0.35">
      <c r="A418" s="16" t="s">
        <v>1485</v>
      </c>
      <c r="B418" s="17">
        <v>45358.544131944444</v>
      </c>
      <c r="C418" s="16" t="s">
        <v>301</v>
      </c>
      <c r="D418" s="16" t="s">
        <v>302</v>
      </c>
      <c r="E418" s="16" t="s">
        <v>1486</v>
      </c>
      <c r="F418" s="16" t="s">
        <v>69</v>
      </c>
      <c r="G418" s="16" t="s">
        <v>244</v>
      </c>
      <c r="H418" s="16" t="s">
        <v>277</v>
      </c>
      <c r="I418" s="16" t="s">
        <v>1487</v>
      </c>
      <c r="J418" s="16" t="s">
        <v>223</v>
      </c>
      <c r="K418" s="16" t="s">
        <v>3257</v>
      </c>
      <c r="L418" s="16" t="s">
        <v>3234</v>
      </c>
    </row>
    <row r="419" spans="1:12" x14ac:dyDescent="0.35">
      <c r="A419" s="16" t="s">
        <v>1488</v>
      </c>
      <c r="B419" s="17">
        <v>45388.578865740739</v>
      </c>
      <c r="C419" s="16" t="s">
        <v>228</v>
      </c>
      <c r="D419" s="16" t="s">
        <v>229</v>
      </c>
      <c r="E419" s="16" t="s">
        <v>1489</v>
      </c>
      <c r="F419" s="16" t="s">
        <v>237</v>
      </c>
      <c r="G419" s="16" t="s">
        <v>244</v>
      </c>
      <c r="H419" s="16" t="s">
        <v>273</v>
      </c>
      <c r="I419" s="16" t="s">
        <v>1490</v>
      </c>
      <c r="J419" s="16" t="s">
        <v>270</v>
      </c>
      <c r="K419" s="16" t="s">
        <v>3253</v>
      </c>
      <c r="L419" s="16" t="s">
        <v>3234</v>
      </c>
    </row>
    <row r="420" spans="1:12" x14ac:dyDescent="0.35">
      <c r="A420" s="16" t="s">
        <v>1491</v>
      </c>
      <c r="B420" s="17">
        <v>46199.342164351852</v>
      </c>
      <c r="C420" s="16" t="s">
        <v>216</v>
      </c>
      <c r="D420" s="16" t="s">
        <v>217</v>
      </c>
      <c r="E420" s="16" t="s">
        <v>1492</v>
      </c>
      <c r="F420" s="16" t="s">
        <v>219</v>
      </c>
      <c r="G420" s="16" t="s">
        <v>244</v>
      </c>
      <c r="H420" s="16" t="s">
        <v>238</v>
      </c>
      <c r="I420" s="16" t="s">
        <v>1493</v>
      </c>
      <c r="J420" s="16" t="s">
        <v>234</v>
      </c>
      <c r="K420" s="16" t="s">
        <v>3239</v>
      </c>
      <c r="L420" s="16" t="s">
        <v>3235</v>
      </c>
    </row>
    <row r="421" spans="1:12" x14ac:dyDescent="0.35">
      <c r="A421" s="16" t="s">
        <v>1494</v>
      </c>
      <c r="B421" s="17">
        <v>45655.112962962965</v>
      </c>
      <c r="C421" s="16" t="s">
        <v>228</v>
      </c>
      <c r="D421" s="16" t="s">
        <v>229</v>
      </c>
      <c r="E421" s="16" t="s">
        <v>1495</v>
      </c>
      <c r="F421" s="16" t="s">
        <v>69</v>
      </c>
      <c r="G421" s="16" t="s">
        <v>244</v>
      </c>
      <c r="H421" s="16" t="s">
        <v>238</v>
      </c>
      <c r="I421" s="16" t="s">
        <v>1496</v>
      </c>
      <c r="J421" s="16" t="s">
        <v>223</v>
      </c>
      <c r="K421" s="16" t="s">
        <v>3251</v>
      </c>
      <c r="L421" s="16" t="s">
        <v>3231</v>
      </c>
    </row>
    <row r="422" spans="1:12" x14ac:dyDescent="0.35">
      <c r="A422" s="16" t="s">
        <v>1497</v>
      </c>
      <c r="B422" s="17">
        <v>45833.197314814817</v>
      </c>
      <c r="C422" s="16" t="s">
        <v>216</v>
      </c>
      <c r="D422" s="16" t="s">
        <v>217</v>
      </c>
      <c r="E422" s="16" t="s">
        <v>1498</v>
      </c>
      <c r="F422" s="16" t="s">
        <v>219</v>
      </c>
      <c r="G422" s="16" t="s">
        <v>231</v>
      </c>
      <c r="H422" s="16" t="s">
        <v>232</v>
      </c>
      <c r="I422" s="16" t="s">
        <v>1499</v>
      </c>
      <c r="J422" s="16" t="s">
        <v>223</v>
      </c>
      <c r="K422" s="16" t="s">
        <v>3259</v>
      </c>
      <c r="L422" s="16" t="s">
        <v>3235</v>
      </c>
    </row>
    <row r="423" spans="1:12" x14ac:dyDescent="0.35">
      <c r="A423" s="16" t="s">
        <v>1500</v>
      </c>
      <c r="B423" s="17">
        <v>45952.905486111114</v>
      </c>
      <c r="C423" s="16" t="s">
        <v>228</v>
      </c>
      <c r="D423" s="16" t="s">
        <v>229</v>
      </c>
      <c r="E423" s="16" t="s">
        <v>1501</v>
      </c>
      <c r="F423" s="16" t="s">
        <v>219</v>
      </c>
      <c r="G423" s="16" t="s">
        <v>244</v>
      </c>
      <c r="H423" s="16" t="s">
        <v>221</v>
      </c>
      <c r="I423" s="16" t="s">
        <v>1502</v>
      </c>
      <c r="J423" s="16" t="s">
        <v>249</v>
      </c>
      <c r="K423" s="16" t="s">
        <v>3259</v>
      </c>
      <c r="L423" s="16" t="s">
        <v>3235</v>
      </c>
    </row>
    <row r="424" spans="1:12" x14ac:dyDescent="0.35">
      <c r="A424" s="16" t="s">
        <v>1503</v>
      </c>
      <c r="B424" s="17">
        <v>45742.278935185182</v>
      </c>
      <c r="C424" s="16" t="s">
        <v>216</v>
      </c>
      <c r="D424" s="16" t="s">
        <v>217</v>
      </c>
      <c r="E424" s="16" t="s">
        <v>1504</v>
      </c>
      <c r="F424" s="16" t="s">
        <v>69</v>
      </c>
      <c r="G424" s="16" t="s">
        <v>244</v>
      </c>
      <c r="H424" s="16" t="s">
        <v>238</v>
      </c>
      <c r="I424" s="16" t="s">
        <v>1505</v>
      </c>
      <c r="J424" s="16" t="s">
        <v>223</v>
      </c>
      <c r="K424" s="16" t="s">
        <v>3242</v>
      </c>
      <c r="L424" s="16" t="s">
        <v>3232</v>
      </c>
    </row>
    <row r="425" spans="1:12" x14ac:dyDescent="0.35">
      <c r="A425" s="16" t="s">
        <v>1506</v>
      </c>
      <c r="B425" s="17">
        <v>45728.503472222219</v>
      </c>
      <c r="C425" s="16" t="s">
        <v>216</v>
      </c>
      <c r="D425" s="16" t="s">
        <v>217</v>
      </c>
      <c r="E425" s="16" t="s">
        <v>1507</v>
      </c>
      <c r="F425" s="16" t="s">
        <v>237</v>
      </c>
      <c r="G425" s="16" t="s">
        <v>231</v>
      </c>
      <c r="H425" s="16" t="s">
        <v>238</v>
      </c>
      <c r="I425" s="16" t="s">
        <v>1508</v>
      </c>
      <c r="J425" s="16" t="s">
        <v>223</v>
      </c>
      <c r="K425" s="16" t="s">
        <v>3248</v>
      </c>
      <c r="L425" s="16" t="s">
        <v>3231</v>
      </c>
    </row>
    <row r="426" spans="1:12" x14ac:dyDescent="0.35">
      <c r="A426" s="16" t="s">
        <v>1509</v>
      </c>
      <c r="B426" s="17">
        <v>46000.676087962966</v>
      </c>
      <c r="C426" s="16" t="s">
        <v>241</v>
      </c>
      <c r="D426" s="16" t="s">
        <v>242</v>
      </c>
      <c r="E426" s="16" t="s">
        <v>1510</v>
      </c>
      <c r="F426" s="16" t="s">
        <v>219</v>
      </c>
      <c r="G426" s="16" t="s">
        <v>244</v>
      </c>
      <c r="H426" s="16" t="s">
        <v>221</v>
      </c>
      <c r="I426" s="16" t="s">
        <v>1511</v>
      </c>
      <c r="J426" s="16" t="s">
        <v>249</v>
      </c>
      <c r="K426" s="16" t="s">
        <v>3242</v>
      </c>
      <c r="L426" s="16" t="s">
        <v>3232</v>
      </c>
    </row>
    <row r="427" spans="1:12" x14ac:dyDescent="0.35">
      <c r="A427" s="16" t="s">
        <v>1512</v>
      </c>
      <c r="B427" s="17">
        <v>45817.819548611114</v>
      </c>
      <c r="C427" s="16" t="s">
        <v>260</v>
      </c>
      <c r="D427" s="16" t="s">
        <v>261</v>
      </c>
      <c r="E427" s="16" t="s">
        <v>1513</v>
      </c>
      <c r="F427" s="16" t="s">
        <v>69</v>
      </c>
      <c r="G427" s="16" t="s">
        <v>244</v>
      </c>
      <c r="H427" s="16" t="s">
        <v>221</v>
      </c>
      <c r="I427" s="16" t="s">
        <v>1514</v>
      </c>
      <c r="J427" s="16" t="s">
        <v>223</v>
      </c>
      <c r="K427" s="16" t="s">
        <v>3245</v>
      </c>
      <c r="L427" s="16" t="s">
        <v>3232</v>
      </c>
    </row>
    <row r="428" spans="1:12" x14ac:dyDescent="0.35">
      <c r="A428" s="16" t="s">
        <v>1515</v>
      </c>
      <c r="B428" s="17">
        <v>45686.485925925925</v>
      </c>
      <c r="C428" s="16" t="s">
        <v>260</v>
      </c>
      <c r="D428" s="16" t="s">
        <v>261</v>
      </c>
      <c r="E428" s="16" t="s">
        <v>1516</v>
      </c>
      <c r="F428" s="16" t="s">
        <v>69</v>
      </c>
      <c r="G428" s="16" t="s">
        <v>220</v>
      </c>
      <c r="H428" s="16" t="s">
        <v>221</v>
      </c>
      <c r="I428" s="16" t="s">
        <v>1517</v>
      </c>
      <c r="J428" s="16" t="s">
        <v>270</v>
      </c>
      <c r="K428" s="16" t="s">
        <v>3238</v>
      </c>
      <c r="L428" s="16" t="s">
        <v>3230</v>
      </c>
    </row>
    <row r="429" spans="1:12" x14ac:dyDescent="0.35">
      <c r="A429" s="16" t="s">
        <v>1518</v>
      </c>
      <c r="B429" s="17">
        <v>46160.157650462963</v>
      </c>
      <c r="C429" s="16" t="s">
        <v>216</v>
      </c>
      <c r="D429" s="16" t="s">
        <v>217</v>
      </c>
      <c r="E429" s="16" t="s">
        <v>1519</v>
      </c>
      <c r="F429" s="16" t="s">
        <v>219</v>
      </c>
      <c r="G429" s="16" t="s">
        <v>244</v>
      </c>
      <c r="H429" s="16" t="s">
        <v>277</v>
      </c>
      <c r="I429" s="16" t="s">
        <v>1520</v>
      </c>
      <c r="J429" s="16" t="s">
        <v>270</v>
      </c>
      <c r="K429" s="16" t="s">
        <v>3236</v>
      </c>
      <c r="L429" s="16" t="s">
        <v>3230</v>
      </c>
    </row>
    <row r="430" spans="1:12" x14ac:dyDescent="0.35">
      <c r="A430" s="16" t="s">
        <v>1521</v>
      </c>
      <c r="B430" s="17">
        <v>45971.05746527778</v>
      </c>
      <c r="C430" s="16" t="s">
        <v>228</v>
      </c>
      <c r="D430" s="16" t="s">
        <v>229</v>
      </c>
      <c r="E430" s="16" t="s">
        <v>1522</v>
      </c>
      <c r="F430" s="16" t="s">
        <v>69</v>
      </c>
      <c r="G430" s="16" t="s">
        <v>220</v>
      </c>
      <c r="H430" s="16" t="s">
        <v>221</v>
      </c>
      <c r="I430" s="16" t="s">
        <v>1523</v>
      </c>
      <c r="J430" s="16" t="s">
        <v>270</v>
      </c>
      <c r="K430" s="16" t="s">
        <v>3247</v>
      </c>
      <c r="L430" s="16" t="s">
        <v>3234</v>
      </c>
    </row>
    <row r="431" spans="1:12" x14ac:dyDescent="0.35">
      <c r="A431" s="16" t="s">
        <v>1524</v>
      </c>
      <c r="B431" s="17">
        <v>46126.58865740741</v>
      </c>
      <c r="C431" s="16" t="s">
        <v>241</v>
      </c>
      <c r="D431" s="16" t="s">
        <v>242</v>
      </c>
      <c r="E431" s="16" t="s">
        <v>1525</v>
      </c>
      <c r="F431" s="16" t="s">
        <v>219</v>
      </c>
      <c r="G431" s="16" t="s">
        <v>231</v>
      </c>
      <c r="H431" s="16" t="s">
        <v>277</v>
      </c>
      <c r="I431" s="16" t="s">
        <v>1526</v>
      </c>
      <c r="J431" s="16" t="s">
        <v>270</v>
      </c>
      <c r="K431" s="16" t="s">
        <v>3253</v>
      </c>
      <c r="L431" s="16" t="s">
        <v>3234</v>
      </c>
    </row>
    <row r="432" spans="1:12" x14ac:dyDescent="0.35">
      <c r="A432" s="16" t="s">
        <v>1527</v>
      </c>
      <c r="B432" s="17">
        <v>45304.973055555558</v>
      </c>
      <c r="C432" s="16" t="s">
        <v>260</v>
      </c>
      <c r="D432" s="16" t="s">
        <v>261</v>
      </c>
      <c r="E432" s="16" t="s">
        <v>1528</v>
      </c>
      <c r="F432" s="16" t="s">
        <v>69</v>
      </c>
      <c r="G432" s="16" t="s">
        <v>244</v>
      </c>
      <c r="H432" s="16" t="s">
        <v>221</v>
      </c>
      <c r="I432" s="16" t="s">
        <v>1529</v>
      </c>
      <c r="J432" s="16" t="s">
        <v>270</v>
      </c>
      <c r="K432" s="16" t="s">
        <v>3238</v>
      </c>
      <c r="L432" s="16" t="s">
        <v>3230</v>
      </c>
    </row>
    <row r="433" spans="1:12" x14ac:dyDescent="0.35">
      <c r="A433" s="16" t="s">
        <v>1530</v>
      </c>
      <c r="B433" s="17">
        <v>45885.457152777781</v>
      </c>
      <c r="C433" s="16" t="s">
        <v>301</v>
      </c>
      <c r="D433" s="16" t="s">
        <v>302</v>
      </c>
      <c r="E433" s="16" t="s">
        <v>1531</v>
      </c>
      <c r="F433" s="16" t="s">
        <v>69</v>
      </c>
      <c r="G433" s="16" t="s">
        <v>231</v>
      </c>
      <c r="H433" s="16" t="s">
        <v>273</v>
      </c>
      <c r="I433" s="16" t="s">
        <v>1532</v>
      </c>
      <c r="J433" s="16" t="s">
        <v>223</v>
      </c>
      <c r="K433" s="16" t="s">
        <v>3250</v>
      </c>
      <c r="L433" s="16" t="s">
        <v>3231</v>
      </c>
    </row>
    <row r="434" spans="1:12" x14ac:dyDescent="0.35">
      <c r="A434" s="16" t="s">
        <v>1533</v>
      </c>
      <c r="B434" s="17">
        <v>46384.333541666667</v>
      </c>
      <c r="C434" s="16" t="s">
        <v>216</v>
      </c>
      <c r="D434" s="16" t="s">
        <v>217</v>
      </c>
      <c r="E434" s="16" t="s">
        <v>1534</v>
      </c>
      <c r="F434" s="16" t="s">
        <v>219</v>
      </c>
      <c r="G434" s="16" t="s">
        <v>231</v>
      </c>
      <c r="H434" s="16" t="s">
        <v>232</v>
      </c>
      <c r="I434" s="16" t="s">
        <v>1535</v>
      </c>
      <c r="J434" s="16" t="s">
        <v>234</v>
      </c>
      <c r="K434" s="16" t="s">
        <v>3243</v>
      </c>
      <c r="L434" s="16" t="s">
        <v>3234</v>
      </c>
    </row>
    <row r="435" spans="1:12" x14ac:dyDescent="0.35">
      <c r="A435" s="16" t="s">
        <v>1536</v>
      </c>
      <c r="B435" s="17">
        <v>45581.186944444446</v>
      </c>
      <c r="C435" s="16" t="s">
        <v>301</v>
      </c>
      <c r="D435" s="16" t="s">
        <v>302</v>
      </c>
      <c r="E435" s="16" t="s">
        <v>1537</v>
      </c>
      <c r="F435" s="16" t="s">
        <v>69</v>
      </c>
      <c r="G435" s="16" t="s">
        <v>244</v>
      </c>
      <c r="H435" s="16" t="s">
        <v>238</v>
      </c>
      <c r="I435" s="16" t="s">
        <v>1538</v>
      </c>
      <c r="J435" s="16" t="s">
        <v>270</v>
      </c>
      <c r="K435" s="16" t="s">
        <v>3254</v>
      </c>
      <c r="L435" s="16" t="s">
        <v>3232</v>
      </c>
    </row>
    <row r="436" spans="1:12" x14ac:dyDescent="0.35">
      <c r="A436" s="16" t="s">
        <v>1539</v>
      </c>
      <c r="B436" s="17">
        <v>45725.626006944447</v>
      </c>
      <c r="C436" s="16" t="s">
        <v>301</v>
      </c>
      <c r="D436" s="16" t="s">
        <v>302</v>
      </c>
      <c r="E436" s="16" t="s">
        <v>1540</v>
      </c>
      <c r="F436" s="16" t="s">
        <v>219</v>
      </c>
      <c r="G436" s="16" t="s">
        <v>220</v>
      </c>
      <c r="H436" s="16" t="s">
        <v>277</v>
      </c>
      <c r="I436" s="16" t="s">
        <v>1541</v>
      </c>
      <c r="J436" s="16" t="s">
        <v>234</v>
      </c>
      <c r="K436" s="16" t="s">
        <v>3255</v>
      </c>
      <c r="L436" s="16" t="s">
        <v>3235</v>
      </c>
    </row>
    <row r="437" spans="1:12" x14ac:dyDescent="0.35">
      <c r="A437" s="16" t="s">
        <v>1542</v>
      </c>
      <c r="B437" s="17">
        <v>45526.27511574074</v>
      </c>
      <c r="C437" s="16" t="s">
        <v>241</v>
      </c>
      <c r="D437" s="16" t="s">
        <v>242</v>
      </c>
      <c r="E437" s="16" t="s">
        <v>1543</v>
      </c>
      <c r="F437" s="16" t="s">
        <v>219</v>
      </c>
      <c r="G437" s="16" t="s">
        <v>220</v>
      </c>
      <c r="H437" s="16" t="s">
        <v>238</v>
      </c>
      <c r="I437" s="16" t="s">
        <v>1544</v>
      </c>
      <c r="J437" s="16" t="s">
        <v>270</v>
      </c>
      <c r="K437" s="16" t="s">
        <v>3243</v>
      </c>
      <c r="L437" s="16" t="s">
        <v>3234</v>
      </c>
    </row>
    <row r="438" spans="1:12" x14ac:dyDescent="0.35">
      <c r="A438" s="16" t="s">
        <v>1545</v>
      </c>
      <c r="B438" s="17">
        <v>45493.299479166664</v>
      </c>
      <c r="C438" s="16" t="s">
        <v>301</v>
      </c>
      <c r="D438" s="16" t="s">
        <v>302</v>
      </c>
      <c r="E438" s="16" t="s">
        <v>1546</v>
      </c>
      <c r="F438" s="16" t="s">
        <v>237</v>
      </c>
      <c r="G438" s="16" t="s">
        <v>231</v>
      </c>
      <c r="H438" s="16" t="s">
        <v>221</v>
      </c>
      <c r="I438" s="16" t="s">
        <v>1547</v>
      </c>
      <c r="J438" s="16" t="s">
        <v>234</v>
      </c>
      <c r="K438" s="16" t="s">
        <v>3255</v>
      </c>
      <c r="L438" s="16" t="s">
        <v>3235</v>
      </c>
    </row>
    <row r="439" spans="1:12" x14ac:dyDescent="0.35">
      <c r="A439" s="16" t="s">
        <v>1548</v>
      </c>
      <c r="B439" s="17">
        <v>45434.293541666666</v>
      </c>
      <c r="C439" s="16" t="s">
        <v>216</v>
      </c>
      <c r="D439" s="16" t="s">
        <v>217</v>
      </c>
      <c r="E439" s="16" t="s">
        <v>1549</v>
      </c>
      <c r="F439" s="16" t="s">
        <v>237</v>
      </c>
      <c r="G439" s="16" t="s">
        <v>231</v>
      </c>
      <c r="H439" s="16" t="s">
        <v>238</v>
      </c>
      <c r="I439" s="16" t="s">
        <v>1550</v>
      </c>
      <c r="J439" s="16" t="s">
        <v>249</v>
      </c>
      <c r="K439" s="16" t="s">
        <v>3254</v>
      </c>
      <c r="L439" s="16" t="s">
        <v>3232</v>
      </c>
    </row>
    <row r="440" spans="1:12" x14ac:dyDescent="0.35">
      <c r="A440" s="16" t="s">
        <v>1551</v>
      </c>
      <c r="B440" s="17">
        <v>46038.479884259257</v>
      </c>
      <c r="C440" s="16" t="s">
        <v>241</v>
      </c>
      <c r="D440" s="16" t="s">
        <v>242</v>
      </c>
      <c r="E440" s="16" t="s">
        <v>1552</v>
      </c>
      <c r="F440" s="16" t="s">
        <v>69</v>
      </c>
      <c r="G440" s="16" t="s">
        <v>220</v>
      </c>
      <c r="H440" s="16" t="s">
        <v>277</v>
      </c>
      <c r="I440" s="16" t="s">
        <v>1553</v>
      </c>
      <c r="J440" s="16" t="s">
        <v>234</v>
      </c>
      <c r="K440" s="16" t="s">
        <v>3252</v>
      </c>
      <c r="L440" s="16" t="s">
        <v>3232</v>
      </c>
    </row>
    <row r="441" spans="1:12" x14ac:dyDescent="0.35">
      <c r="A441" s="16" t="s">
        <v>1554</v>
      </c>
      <c r="B441" s="17">
        <v>45567.502986111111</v>
      </c>
      <c r="C441" s="16" t="s">
        <v>260</v>
      </c>
      <c r="D441" s="16" t="s">
        <v>261</v>
      </c>
      <c r="E441" s="16" t="s">
        <v>1555</v>
      </c>
      <c r="F441" s="16" t="s">
        <v>237</v>
      </c>
      <c r="G441" s="16" t="s">
        <v>231</v>
      </c>
      <c r="H441" s="16" t="s">
        <v>238</v>
      </c>
      <c r="I441" s="16" t="s">
        <v>1556</v>
      </c>
      <c r="J441" s="16" t="s">
        <v>223</v>
      </c>
      <c r="K441" s="16" t="s">
        <v>3238</v>
      </c>
      <c r="L441" s="16" t="s">
        <v>3230</v>
      </c>
    </row>
    <row r="442" spans="1:12" x14ac:dyDescent="0.35">
      <c r="A442" s="16" t="s">
        <v>1557</v>
      </c>
      <c r="B442" s="17">
        <v>45459.425694444442</v>
      </c>
      <c r="C442" s="16" t="s">
        <v>241</v>
      </c>
      <c r="D442" s="16" t="s">
        <v>242</v>
      </c>
      <c r="E442" s="16" t="s">
        <v>1558</v>
      </c>
      <c r="F442" s="16" t="s">
        <v>219</v>
      </c>
      <c r="G442" s="16" t="s">
        <v>220</v>
      </c>
      <c r="H442" s="16" t="s">
        <v>221</v>
      </c>
      <c r="I442" s="16" t="s">
        <v>1559</v>
      </c>
      <c r="J442" s="16" t="s">
        <v>270</v>
      </c>
      <c r="K442" s="16" t="s">
        <v>3251</v>
      </c>
      <c r="L442" s="16" t="s">
        <v>3231</v>
      </c>
    </row>
    <row r="443" spans="1:12" x14ac:dyDescent="0.35">
      <c r="A443" s="16" t="s">
        <v>1560</v>
      </c>
      <c r="B443" s="17">
        <v>45355.882743055554</v>
      </c>
      <c r="C443" s="16" t="s">
        <v>216</v>
      </c>
      <c r="D443" s="16" t="s">
        <v>217</v>
      </c>
      <c r="E443" s="16" t="s">
        <v>1561</v>
      </c>
      <c r="F443" s="16" t="s">
        <v>237</v>
      </c>
      <c r="G443" s="16" t="s">
        <v>244</v>
      </c>
      <c r="H443" s="16" t="s">
        <v>221</v>
      </c>
      <c r="I443" s="16" t="s">
        <v>1562</v>
      </c>
      <c r="J443" s="16" t="s">
        <v>249</v>
      </c>
      <c r="K443" s="16" t="s">
        <v>3258</v>
      </c>
      <c r="L443" s="16" t="s">
        <v>3235</v>
      </c>
    </row>
    <row r="444" spans="1:12" x14ac:dyDescent="0.35">
      <c r="A444" s="16" t="s">
        <v>1563</v>
      </c>
      <c r="B444" s="17">
        <v>45596.5549537037</v>
      </c>
      <c r="C444" s="16" t="s">
        <v>241</v>
      </c>
      <c r="D444" s="16" t="s">
        <v>242</v>
      </c>
      <c r="E444" s="16" t="s">
        <v>1564</v>
      </c>
      <c r="F444" s="16" t="s">
        <v>69</v>
      </c>
      <c r="G444" s="16" t="s">
        <v>244</v>
      </c>
      <c r="H444" s="16" t="s">
        <v>273</v>
      </c>
      <c r="I444" s="16" t="s">
        <v>1565</v>
      </c>
      <c r="J444" s="16" t="s">
        <v>223</v>
      </c>
      <c r="K444" s="16" t="s">
        <v>3243</v>
      </c>
      <c r="L444" s="16" t="s">
        <v>3234</v>
      </c>
    </row>
    <row r="445" spans="1:12" x14ac:dyDescent="0.35">
      <c r="A445" s="16" t="s">
        <v>1566</v>
      </c>
      <c r="B445" s="17">
        <v>46104.551990740743</v>
      </c>
      <c r="C445" s="16" t="s">
        <v>241</v>
      </c>
      <c r="D445" s="16" t="s">
        <v>242</v>
      </c>
      <c r="E445" s="16" t="s">
        <v>1567</v>
      </c>
      <c r="F445" s="16" t="s">
        <v>69</v>
      </c>
      <c r="G445" s="16" t="s">
        <v>244</v>
      </c>
      <c r="H445" s="16" t="s">
        <v>273</v>
      </c>
      <c r="I445" s="16" t="s">
        <v>1568</v>
      </c>
      <c r="J445" s="16" t="s">
        <v>234</v>
      </c>
      <c r="K445" s="16" t="s">
        <v>3253</v>
      </c>
      <c r="L445" s="16" t="s">
        <v>3234</v>
      </c>
    </row>
    <row r="446" spans="1:12" x14ac:dyDescent="0.35">
      <c r="A446" s="16" t="s">
        <v>1569</v>
      </c>
      <c r="B446" s="17">
        <v>45618.27175925926</v>
      </c>
      <c r="C446" s="16" t="s">
        <v>241</v>
      </c>
      <c r="D446" s="16" t="s">
        <v>242</v>
      </c>
      <c r="E446" s="16" t="s">
        <v>1570</v>
      </c>
      <c r="F446" s="16" t="s">
        <v>219</v>
      </c>
      <c r="G446" s="16" t="s">
        <v>244</v>
      </c>
      <c r="H446" s="16" t="s">
        <v>277</v>
      </c>
      <c r="I446" s="16" t="s">
        <v>1571</v>
      </c>
      <c r="J446" s="16" t="s">
        <v>223</v>
      </c>
      <c r="K446" s="16" t="s">
        <v>3253</v>
      </c>
      <c r="L446" s="16" t="s">
        <v>3234</v>
      </c>
    </row>
    <row r="447" spans="1:12" x14ac:dyDescent="0.35">
      <c r="A447" s="16" t="s">
        <v>1572</v>
      </c>
      <c r="B447" s="17">
        <v>46290.3515625</v>
      </c>
      <c r="C447" s="16" t="s">
        <v>301</v>
      </c>
      <c r="D447" s="16" t="s">
        <v>302</v>
      </c>
      <c r="E447" s="16" t="s">
        <v>1573</v>
      </c>
      <c r="F447" s="16" t="s">
        <v>237</v>
      </c>
      <c r="G447" s="16" t="s">
        <v>231</v>
      </c>
      <c r="H447" s="16" t="s">
        <v>221</v>
      </c>
      <c r="I447" s="16" t="s">
        <v>1574</v>
      </c>
      <c r="J447" s="16" t="s">
        <v>234</v>
      </c>
      <c r="K447" s="16" t="s">
        <v>3244</v>
      </c>
      <c r="L447" s="16" t="s">
        <v>3235</v>
      </c>
    </row>
    <row r="448" spans="1:12" x14ac:dyDescent="0.35">
      <c r="A448" s="16" t="s">
        <v>1575</v>
      </c>
      <c r="B448" s="17">
        <v>46253.689710648148</v>
      </c>
      <c r="C448" s="16" t="s">
        <v>241</v>
      </c>
      <c r="D448" s="16" t="s">
        <v>242</v>
      </c>
      <c r="E448" s="16" t="s">
        <v>1576</v>
      </c>
      <c r="F448" s="16" t="s">
        <v>69</v>
      </c>
      <c r="G448" s="16" t="s">
        <v>244</v>
      </c>
      <c r="H448" s="16" t="s">
        <v>238</v>
      </c>
      <c r="I448" s="16" t="s">
        <v>1577</v>
      </c>
      <c r="J448" s="16" t="s">
        <v>249</v>
      </c>
      <c r="K448" s="16" t="s">
        <v>3257</v>
      </c>
      <c r="L448" s="16" t="s">
        <v>3234</v>
      </c>
    </row>
    <row r="449" spans="1:12" x14ac:dyDescent="0.35">
      <c r="A449" s="16" t="s">
        <v>1578</v>
      </c>
      <c r="B449" s="17">
        <v>45648.571400462963</v>
      </c>
      <c r="C449" s="16" t="s">
        <v>301</v>
      </c>
      <c r="D449" s="16" t="s">
        <v>302</v>
      </c>
      <c r="E449" s="16" t="s">
        <v>1579</v>
      </c>
      <c r="F449" s="16" t="s">
        <v>237</v>
      </c>
      <c r="G449" s="16" t="s">
        <v>231</v>
      </c>
      <c r="H449" s="16" t="s">
        <v>273</v>
      </c>
      <c r="I449" s="16" t="s">
        <v>1580</v>
      </c>
      <c r="J449" s="16" t="s">
        <v>249</v>
      </c>
      <c r="K449" s="16" t="s">
        <v>3233</v>
      </c>
      <c r="L449" s="16" t="s">
        <v>3230</v>
      </c>
    </row>
    <row r="450" spans="1:12" x14ac:dyDescent="0.35">
      <c r="A450" s="16" t="s">
        <v>1581</v>
      </c>
      <c r="B450" s="17">
        <v>46123.535358796296</v>
      </c>
      <c r="C450" s="16" t="s">
        <v>260</v>
      </c>
      <c r="D450" s="16" t="s">
        <v>261</v>
      </c>
      <c r="E450" s="16" t="s">
        <v>1582</v>
      </c>
      <c r="F450" s="16" t="s">
        <v>237</v>
      </c>
      <c r="G450" s="16" t="s">
        <v>231</v>
      </c>
      <c r="H450" s="16" t="s">
        <v>277</v>
      </c>
      <c r="I450" s="16" t="s">
        <v>1583</v>
      </c>
      <c r="J450" s="16" t="s">
        <v>234</v>
      </c>
      <c r="K450" s="16" t="s">
        <v>3236</v>
      </c>
      <c r="L450" s="16" t="s">
        <v>3230</v>
      </c>
    </row>
    <row r="451" spans="1:12" x14ac:dyDescent="0.35">
      <c r="A451" s="16" t="s">
        <v>1584</v>
      </c>
      <c r="B451" s="17">
        <v>45449.78056712963</v>
      </c>
      <c r="C451" s="16" t="s">
        <v>260</v>
      </c>
      <c r="D451" s="16" t="s">
        <v>261</v>
      </c>
      <c r="E451" s="16" t="s">
        <v>1585</v>
      </c>
      <c r="F451" s="16" t="s">
        <v>237</v>
      </c>
      <c r="G451" s="16" t="s">
        <v>220</v>
      </c>
      <c r="H451" s="16" t="s">
        <v>277</v>
      </c>
      <c r="I451" s="16" t="s">
        <v>1586</v>
      </c>
      <c r="J451" s="16" t="s">
        <v>234</v>
      </c>
      <c r="K451" s="16" t="s">
        <v>3251</v>
      </c>
      <c r="L451" s="16" t="s">
        <v>3231</v>
      </c>
    </row>
    <row r="452" spans="1:12" x14ac:dyDescent="0.35">
      <c r="A452" s="16" t="s">
        <v>1587</v>
      </c>
      <c r="B452" s="17">
        <v>45763.628981481481</v>
      </c>
      <c r="C452" s="16" t="s">
        <v>301</v>
      </c>
      <c r="D452" s="16" t="s">
        <v>302</v>
      </c>
      <c r="E452" s="16" t="s">
        <v>1588</v>
      </c>
      <c r="F452" s="16" t="s">
        <v>219</v>
      </c>
      <c r="G452" s="16" t="s">
        <v>220</v>
      </c>
      <c r="H452" s="16" t="s">
        <v>273</v>
      </c>
      <c r="I452" s="16" t="s">
        <v>1589</v>
      </c>
      <c r="J452" s="16" t="s">
        <v>223</v>
      </c>
      <c r="K452" s="16" t="s">
        <v>3248</v>
      </c>
      <c r="L452" s="16" t="s">
        <v>3231</v>
      </c>
    </row>
    <row r="453" spans="1:12" x14ac:dyDescent="0.35">
      <c r="A453" s="16" t="s">
        <v>1590</v>
      </c>
      <c r="B453" s="17">
        <v>45622.981909722221</v>
      </c>
      <c r="C453" s="16" t="s">
        <v>260</v>
      </c>
      <c r="D453" s="16" t="s">
        <v>261</v>
      </c>
      <c r="E453" s="16" t="s">
        <v>1591</v>
      </c>
      <c r="F453" s="16" t="s">
        <v>69</v>
      </c>
      <c r="G453" s="16" t="s">
        <v>220</v>
      </c>
      <c r="H453" s="16" t="s">
        <v>277</v>
      </c>
      <c r="I453" s="16" t="s">
        <v>1592</v>
      </c>
      <c r="J453" s="16" t="s">
        <v>234</v>
      </c>
      <c r="K453" s="16" t="s">
        <v>3238</v>
      </c>
      <c r="L453" s="16" t="s">
        <v>3230</v>
      </c>
    </row>
    <row r="454" spans="1:12" x14ac:dyDescent="0.35">
      <c r="A454" s="16" t="s">
        <v>1593</v>
      </c>
      <c r="B454" s="17">
        <v>45592.084814814814</v>
      </c>
      <c r="C454" s="16" t="s">
        <v>228</v>
      </c>
      <c r="D454" s="16" t="s">
        <v>229</v>
      </c>
      <c r="E454" s="16" t="s">
        <v>1594</v>
      </c>
      <c r="F454" s="16" t="s">
        <v>237</v>
      </c>
      <c r="G454" s="16" t="s">
        <v>220</v>
      </c>
      <c r="H454" s="16" t="s">
        <v>273</v>
      </c>
      <c r="I454" s="16" t="s">
        <v>1595</v>
      </c>
      <c r="J454" s="16" t="s">
        <v>270</v>
      </c>
      <c r="K454" s="16" t="s">
        <v>3244</v>
      </c>
      <c r="L454" s="16" t="s">
        <v>3235</v>
      </c>
    </row>
    <row r="455" spans="1:12" x14ac:dyDescent="0.35">
      <c r="A455" s="16" t="s">
        <v>1596</v>
      </c>
      <c r="B455" s="17">
        <v>46211.920115740744</v>
      </c>
      <c r="C455" s="16" t="s">
        <v>301</v>
      </c>
      <c r="D455" s="16" t="s">
        <v>302</v>
      </c>
      <c r="E455" s="16" t="s">
        <v>1597</v>
      </c>
      <c r="F455" s="16" t="s">
        <v>237</v>
      </c>
      <c r="G455" s="16" t="s">
        <v>220</v>
      </c>
      <c r="H455" s="16" t="s">
        <v>221</v>
      </c>
      <c r="I455" s="16" t="s">
        <v>1598</v>
      </c>
      <c r="J455" s="16" t="s">
        <v>234</v>
      </c>
      <c r="K455" s="16" t="s">
        <v>3237</v>
      </c>
      <c r="L455" s="16" t="s">
        <v>3230</v>
      </c>
    </row>
    <row r="456" spans="1:12" x14ac:dyDescent="0.35">
      <c r="A456" s="16" t="s">
        <v>1599</v>
      </c>
      <c r="B456" s="17">
        <v>46338.401284722226</v>
      </c>
      <c r="C456" s="16" t="s">
        <v>241</v>
      </c>
      <c r="D456" s="16" t="s">
        <v>242</v>
      </c>
      <c r="E456" s="16" t="s">
        <v>1600</v>
      </c>
      <c r="F456" s="16" t="s">
        <v>219</v>
      </c>
      <c r="G456" s="16" t="s">
        <v>244</v>
      </c>
      <c r="H456" s="16" t="s">
        <v>277</v>
      </c>
      <c r="I456" s="16" t="s">
        <v>1601</v>
      </c>
      <c r="J456" s="16" t="s">
        <v>270</v>
      </c>
      <c r="K456" s="16" t="s">
        <v>3259</v>
      </c>
      <c r="L456" s="16" t="s">
        <v>3235</v>
      </c>
    </row>
    <row r="457" spans="1:12" x14ac:dyDescent="0.35">
      <c r="A457" s="16" t="s">
        <v>1602</v>
      </c>
      <c r="B457" s="17">
        <v>45562.164699074077</v>
      </c>
      <c r="C457" s="16" t="s">
        <v>228</v>
      </c>
      <c r="D457" s="16" t="s">
        <v>229</v>
      </c>
      <c r="E457" s="16" t="s">
        <v>1603</v>
      </c>
      <c r="F457" s="16" t="s">
        <v>69</v>
      </c>
      <c r="G457" s="16" t="s">
        <v>244</v>
      </c>
      <c r="H457" s="16" t="s">
        <v>232</v>
      </c>
      <c r="I457" s="16" t="s">
        <v>1604</v>
      </c>
      <c r="J457" s="16" t="s">
        <v>223</v>
      </c>
      <c r="K457" s="16" t="s">
        <v>3249</v>
      </c>
      <c r="L457" s="16" t="s">
        <v>3232</v>
      </c>
    </row>
    <row r="458" spans="1:12" x14ac:dyDescent="0.35">
      <c r="A458" s="16" t="s">
        <v>1605</v>
      </c>
      <c r="B458" s="17">
        <v>45655.721909722219</v>
      </c>
      <c r="C458" s="16" t="s">
        <v>228</v>
      </c>
      <c r="D458" s="16" t="s">
        <v>229</v>
      </c>
      <c r="E458" s="16" t="s">
        <v>1606</v>
      </c>
      <c r="F458" s="16" t="s">
        <v>219</v>
      </c>
      <c r="G458" s="16" t="s">
        <v>220</v>
      </c>
      <c r="H458" s="16" t="s">
        <v>273</v>
      </c>
      <c r="I458" s="16" t="s">
        <v>1607</v>
      </c>
      <c r="J458" s="16" t="s">
        <v>270</v>
      </c>
      <c r="K458" s="16" t="s">
        <v>3239</v>
      </c>
      <c r="L458" s="16" t="s">
        <v>3235</v>
      </c>
    </row>
    <row r="459" spans="1:12" x14ac:dyDescent="0.35">
      <c r="A459" s="16" t="s">
        <v>1608</v>
      </c>
      <c r="B459" s="17">
        <v>45294.984907407408</v>
      </c>
      <c r="C459" s="16" t="s">
        <v>216</v>
      </c>
      <c r="D459" s="16" t="s">
        <v>217</v>
      </c>
      <c r="E459" s="16" t="s">
        <v>1609</v>
      </c>
      <c r="F459" s="16" t="s">
        <v>219</v>
      </c>
      <c r="G459" s="16" t="s">
        <v>231</v>
      </c>
      <c r="H459" s="16" t="s">
        <v>232</v>
      </c>
      <c r="I459" s="16" t="s">
        <v>1610</v>
      </c>
      <c r="J459" s="16" t="s">
        <v>223</v>
      </c>
      <c r="K459" s="16" t="s">
        <v>3241</v>
      </c>
      <c r="L459" s="16" t="s">
        <v>3231</v>
      </c>
    </row>
    <row r="460" spans="1:12" x14ac:dyDescent="0.35">
      <c r="A460" s="16" t="s">
        <v>1611</v>
      </c>
      <c r="B460" s="17">
        <v>46009.893599537034</v>
      </c>
      <c r="C460" s="16" t="s">
        <v>228</v>
      </c>
      <c r="D460" s="16" t="s">
        <v>229</v>
      </c>
      <c r="E460" s="16" t="s">
        <v>1612</v>
      </c>
      <c r="F460" s="16" t="s">
        <v>69</v>
      </c>
      <c r="G460" s="16" t="s">
        <v>231</v>
      </c>
      <c r="H460" s="16" t="s">
        <v>232</v>
      </c>
      <c r="I460" s="16" t="s">
        <v>1613</v>
      </c>
      <c r="J460" s="16" t="s">
        <v>223</v>
      </c>
      <c r="K460" s="16" t="s">
        <v>3239</v>
      </c>
      <c r="L460" s="16" t="s">
        <v>3235</v>
      </c>
    </row>
    <row r="461" spans="1:12" x14ac:dyDescent="0.35">
      <c r="A461" s="16" t="s">
        <v>1614</v>
      </c>
      <c r="B461" s="17">
        <v>46128.391099537039</v>
      </c>
      <c r="C461" s="16" t="s">
        <v>228</v>
      </c>
      <c r="D461" s="16" t="s">
        <v>229</v>
      </c>
      <c r="E461" s="16" t="s">
        <v>1615</v>
      </c>
      <c r="F461" s="16" t="s">
        <v>69</v>
      </c>
      <c r="G461" s="16" t="s">
        <v>244</v>
      </c>
      <c r="H461" s="16" t="s">
        <v>221</v>
      </c>
      <c r="I461" s="16" t="s">
        <v>1616</v>
      </c>
      <c r="J461" s="16" t="s">
        <v>270</v>
      </c>
      <c r="K461" s="16" t="s">
        <v>3243</v>
      </c>
      <c r="L461" s="16" t="s">
        <v>3234</v>
      </c>
    </row>
    <row r="462" spans="1:12" x14ac:dyDescent="0.35">
      <c r="A462" s="16" t="s">
        <v>1617</v>
      </c>
      <c r="B462" s="17">
        <v>45712.479224537034</v>
      </c>
      <c r="C462" s="16" t="s">
        <v>241</v>
      </c>
      <c r="D462" s="16" t="s">
        <v>242</v>
      </c>
      <c r="E462" s="16" t="s">
        <v>1618</v>
      </c>
      <c r="F462" s="16" t="s">
        <v>237</v>
      </c>
      <c r="G462" s="16" t="s">
        <v>220</v>
      </c>
      <c r="H462" s="16" t="s">
        <v>221</v>
      </c>
      <c r="I462" s="16" t="s">
        <v>1619</v>
      </c>
      <c r="J462" s="16" t="s">
        <v>249</v>
      </c>
      <c r="K462" s="16" t="s">
        <v>3253</v>
      </c>
      <c r="L462" s="16" t="s">
        <v>3234</v>
      </c>
    </row>
    <row r="463" spans="1:12" x14ac:dyDescent="0.35">
      <c r="A463" s="16" t="s">
        <v>1620</v>
      </c>
      <c r="B463" s="17">
        <v>46040.928240740737</v>
      </c>
      <c r="C463" s="16" t="s">
        <v>301</v>
      </c>
      <c r="D463" s="16" t="s">
        <v>302</v>
      </c>
      <c r="E463" s="16" t="s">
        <v>1621</v>
      </c>
      <c r="F463" s="16" t="s">
        <v>219</v>
      </c>
      <c r="G463" s="16" t="s">
        <v>231</v>
      </c>
      <c r="H463" s="16" t="s">
        <v>273</v>
      </c>
      <c r="I463" s="16" t="s">
        <v>1622</v>
      </c>
      <c r="J463" s="16" t="s">
        <v>223</v>
      </c>
      <c r="K463" s="16" t="s">
        <v>3253</v>
      </c>
      <c r="L463" s="16" t="s">
        <v>3234</v>
      </c>
    </row>
    <row r="464" spans="1:12" x14ac:dyDescent="0.35">
      <c r="A464" s="16" t="s">
        <v>1623</v>
      </c>
      <c r="B464" s="17">
        <v>46282.384988425925</v>
      </c>
      <c r="C464" s="16" t="s">
        <v>228</v>
      </c>
      <c r="D464" s="16" t="s">
        <v>229</v>
      </c>
      <c r="E464" s="16" t="s">
        <v>1624</v>
      </c>
      <c r="F464" s="16" t="s">
        <v>219</v>
      </c>
      <c r="G464" s="16" t="s">
        <v>231</v>
      </c>
      <c r="H464" s="16" t="s">
        <v>238</v>
      </c>
      <c r="I464" s="16" t="s">
        <v>1625</v>
      </c>
      <c r="J464" s="16" t="s">
        <v>234</v>
      </c>
      <c r="K464" s="16" t="s">
        <v>3248</v>
      </c>
      <c r="L464" s="16" t="s">
        <v>3231</v>
      </c>
    </row>
    <row r="465" spans="1:12" x14ac:dyDescent="0.35">
      <c r="A465" s="16" t="s">
        <v>1626</v>
      </c>
      <c r="B465" s="17">
        <v>45623.152118055557</v>
      </c>
      <c r="C465" s="16" t="s">
        <v>216</v>
      </c>
      <c r="D465" s="16" t="s">
        <v>217</v>
      </c>
      <c r="E465" s="16" t="s">
        <v>1627</v>
      </c>
      <c r="F465" s="16" t="s">
        <v>219</v>
      </c>
      <c r="G465" s="16" t="s">
        <v>231</v>
      </c>
      <c r="H465" s="16" t="s">
        <v>277</v>
      </c>
      <c r="I465" s="16" t="s">
        <v>1628</v>
      </c>
      <c r="J465" s="16" t="s">
        <v>270</v>
      </c>
      <c r="K465" s="16" t="s">
        <v>3254</v>
      </c>
      <c r="L465" s="16" t="s">
        <v>3232</v>
      </c>
    </row>
    <row r="466" spans="1:12" x14ac:dyDescent="0.35">
      <c r="A466" s="16" t="s">
        <v>1629</v>
      </c>
      <c r="B466" s="17">
        <v>45478.220462962963</v>
      </c>
      <c r="C466" s="16" t="s">
        <v>228</v>
      </c>
      <c r="D466" s="16" t="s">
        <v>229</v>
      </c>
      <c r="E466" s="16" t="s">
        <v>1630</v>
      </c>
      <c r="F466" s="16" t="s">
        <v>219</v>
      </c>
      <c r="G466" s="16" t="s">
        <v>231</v>
      </c>
      <c r="H466" s="16" t="s">
        <v>232</v>
      </c>
      <c r="I466" s="16" t="s">
        <v>1631</v>
      </c>
      <c r="J466" s="16" t="s">
        <v>249</v>
      </c>
      <c r="K466" s="16" t="s">
        <v>3257</v>
      </c>
      <c r="L466" s="16" t="s">
        <v>3234</v>
      </c>
    </row>
    <row r="467" spans="1:12" x14ac:dyDescent="0.35">
      <c r="A467" s="16" t="s">
        <v>1632</v>
      </c>
      <c r="B467" s="17">
        <v>45369.583032407405</v>
      </c>
      <c r="C467" s="16" t="s">
        <v>228</v>
      </c>
      <c r="D467" s="16" t="s">
        <v>229</v>
      </c>
      <c r="E467" s="16" t="s">
        <v>1633</v>
      </c>
      <c r="F467" s="16" t="s">
        <v>219</v>
      </c>
      <c r="G467" s="16" t="s">
        <v>244</v>
      </c>
      <c r="H467" s="16" t="s">
        <v>238</v>
      </c>
      <c r="I467" s="16" t="s">
        <v>1634</v>
      </c>
      <c r="J467" s="16" t="s">
        <v>270</v>
      </c>
      <c r="K467" s="16" t="s">
        <v>3256</v>
      </c>
      <c r="L467" s="16" t="s">
        <v>3231</v>
      </c>
    </row>
    <row r="468" spans="1:12" x14ac:dyDescent="0.35">
      <c r="A468" s="16" t="s">
        <v>1635</v>
      </c>
      <c r="B468" s="17">
        <v>45313.305995370371</v>
      </c>
      <c r="C468" s="16" t="s">
        <v>228</v>
      </c>
      <c r="D468" s="16" t="s">
        <v>229</v>
      </c>
      <c r="E468" s="16" t="s">
        <v>1636</v>
      </c>
      <c r="F468" s="16" t="s">
        <v>219</v>
      </c>
      <c r="G468" s="16" t="s">
        <v>231</v>
      </c>
      <c r="H468" s="16" t="s">
        <v>232</v>
      </c>
      <c r="I468" s="16" t="s">
        <v>1637</v>
      </c>
      <c r="J468" s="16" t="s">
        <v>234</v>
      </c>
      <c r="K468" s="16" t="s">
        <v>3259</v>
      </c>
      <c r="L468" s="16" t="s">
        <v>3235</v>
      </c>
    </row>
    <row r="469" spans="1:12" x14ac:dyDescent="0.35">
      <c r="A469" s="16" t="s">
        <v>1638</v>
      </c>
      <c r="B469" s="17">
        <v>46028.362951388888</v>
      </c>
      <c r="C469" s="16" t="s">
        <v>241</v>
      </c>
      <c r="D469" s="16" t="s">
        <v>242</v>
      </c>
      <c r="E469" s="16" t="s">
        <v>1639</v>
      </c>
      <c r="F469" s="16" t="s">
        <v>69</v>
      </c>
      <c r="G469" s="16" t="s">
        <v>220</v>
      </c>
      <c r="H469" s="16" t="s">
        <v>277</v>
      </c>
      <c r="I469" s="16" t="s">
        <v>1640</v>
      </c>
      <c r="J469" s="16" t="s">
        <v>223</v>
      </c>
      <c r="K469" s="16" t="s">
        <v>3243</v>
      </c>
      <c r="L469" s="16" t="s">
        <v>3234</v>
      </c>
    </row>
    <row r="470" spans="1:12" x14ac:dyDescent="0.35">
      <c r="A470" s="16" t="s">
        <v>1641</v>
      </c>
      <c r="B470" s="17">
        <v>45702.785428240742</v>
      </c>
      <c r="C470" s="16" t="s">
        <v>301</v>
      </c>
      <c r="D470" s="16" t="s">
        <v>302</v>
      </c>
      <c r="E470" s="16" t="s">
        <v>1642</v>
      </c>
      <c r="F470" s="16" t="s">
        <v>219</v>
      </c>
      <c r="G470" s="16" t="s">
        <v>244</v>
      </c>
      <c r="H470" s="16" t="s">
        <v>232</v>
      </c>
      <c r="I470" s="16" t="s">
        <v>1643</v>
      </c>
      <c r="J470" s="16" t="s">
        <v>249</v>
      </c>
      <c r="K470" s="16" t="s">
        <v>3250</v>
      </c>
      <c r="L470" s="16" t="s">
        <v>3231</v>
      </c>
    </row>
    <row r="471" spans="1:12" x14ac:dyDescent="0.35">
      <c r="A471" s="16" t="s">
        <v>1644</v>
      </c>
      <c r="B471" s="17">
        <v>46003.41946759259</v>
      </c>
      <c r="C471" s="16" t="s">
        <v>241</v>
      </c>
      <c r="D471" s="16" t="s">
        <v>242</v>
      </c>
      <c r="E471" s="16" t="s">
        <v>1645</v>
      </c>
      <c r="F471" s="16" t="s">
        <v>219</v>
      </c>
      <c r="G471" s="16" t="s">
        <v>220</v>
      </c>
      <c r="H471" s="16" t="s">
        <v>273</v>
      </c>
      <c r="I471" s="16" t="s">
        <v>1646</v>
      </c>
      <c r="J471" s="16" t="s">
        <v>270</v>
      </c>
      <c r="K471" s="16" t="s">
        <v>3248</v>
      </c>
      <c r="L471" s="16" t="s">
        <v>3231</v>
      </c>
    </row>
    <row r="472" spans="1:12" x14ac:dyDescent="0.35">
      <c r="A472" s="16" t="s">
        <v>1647</v>
      </c>
      <c r="B472" s="17">
        <v>46328.161504629628</v>
      </c>
      <c r="C472" s="16" t="s">
        <v>301</v>
      </c>
      <c r="D472" s="16" t="s">
        <v>302</v>
      </c>
      <c r="E472" s="16" t="s">
        <v>1648</v>
      </c>
      <c r="F472" s="16" t="s">
        <v>69</v>
      </c>
      <c r="G472" s="16" t="s">
        <v>244</v>
      </c>
      <c r="H472" s="16" t="s">
        <v>277</v>
      </c>
      <c r="I472" s="16" t="s">
        <v>1649</v>
      </c>
      <c r="J472" s="16" t="s">
        <v>270</v>
      </c>
      <c r="K472" s="16" t="s">
        <v>3247</v>
      </c>
      <c r="L472" s="16" t="s">
        <v>3234</v>
      </c>
    </row>
    <row r="473" spans="1:12" x14ac:dyDescent="0.35">
      <c r="A473" s="16" t="s">
        <v>1650</v>
      </c>
      <c r="B473" s="17">
        <v>45804.671689814815</v>
      </c>
      <c r="C473" s="16" t="s">
        <v>241</v>
      </c>
      <c r="D473" s="16" t="s">
        <v>242</v>
      </c>
      <c r="E473" s="16" t="s">
        <v>1651</v>
      </c>
      <c r="F473" s="16" t="s">
        <v>219</v>
      </c>
      <c r="G473" s="16" t="s">
        <v>231</v>
      </c>
      <c r="H473" s="16" t="s">
        <v>238</v>
      </c>
      <c r="I473" s="16" t="s">
        <v>1652</v>
      </c>
      <c r="J473" s="16" t="s">
        <v>223</v>
      </c>
      <c r="K473" s="16" t="s">
        <v>3233</v>
      </c>
      <c r="L473" s="16" t="s">
        <v>3230</v>
      </c>
    </row>
    <row r="474" spans="1:12" x14ac:dyDescent="0.35">
      <c r="A474" s="16" t="s">
        <v>1653</v>
      </c>
      <c r="B474" s="17">
        <v>46279.176377314812</v>
      </c>
      <c r="C474" s="16" t="s">
        <v>260</v>
      </c>
      <c r="D474" s="16" t="s">
        <v>261</v>
      </c>
      <c r="E474" s="16" t="s">
        <v>1654</v>
      </c>
      <c r="F474" s="16" t="s">
        <v>69</v>
      </c>
      <c r="G474" s="16" t="s">
        <v>231</v>
      </c>
      <c r="H474" s="16" t="s">
        <v>273</v>
      </c>
      <c r="I474" s="16" t="s">
        <v>1655</v>
      </c>
      <c r="J474" s="16" t="s">
        <v>234</v>
      </c>
      <c r="K474" s="16" t="s">
        <v>3257</v>
      </c>
      <c r="L474" s="16" t="s">
        <v>3234</v>
      </c>
    </row>
    <row r="475" spans="1:12" x14ac:dyDescent="0.35">
      <c r="A475" s="16" t="s">
        <v>1656</v>
      </c>
      <c r="B475" s="17">
        <v>46349.812592592592</v>
      </c>
      <c r="C475" s="16" t="s">
        <v>301</v>
      </c>
      <c r="D475" s="16" t="s">
        <v>302</v>
      </c>
      <c r="E475" s="16" t="s">
        <v>1657</v>
      </c>
      <c r="F475" s="16" t="s">
        <v>219</v>
      </c>
      <c r="G475" s="16" t="s">
        <v>231</v>
      </c>
      <c r="H475" s="16" t="s">
        <v>232</v>
      </c>
      <c r="I475" s="16" t="s">
        <v>1658</v>
      </c>
      <c r="J475" s="16" t="s">
        <v>270</v>
      </c>
      <c r="K475" s="16" t="s">
        <v>3238</v>
      </c>
      <c r="L475" s="16" t="s">
        <v>3230</v>
      </c>
    </row>
    <row r="476" spans="1:12" x14ac:dyDescent="0.35">
      <c r="A476" s="16" t="s">
        <v>1659</v>
      </c>
      <c r="B476" s="17">
        <v>45657.722951388889</v>
      </c>
      <c r="C476" s="16" t="s">
        <v>260</v>
      </c>
      <c r="D476" s="16" t="s">
        <v>261</v>
      </c>
      <c r="E476" s="16" t="s">
        <v>1660</v>
      </c>
      <c r="F476" s="16" t="s">
        <v>237</v>
      </c>
      <c r="G476" s="16" t="s">
        <v>220</v>
      </c>
      <c r="H476" s="16" t="s">
        <v>238</v>
      </c>
      <c r="I476" s="16" t="s">
        <v>1661</v>
      </c>
      <c r="J476" s="16" t="s">
        <v>234</v>
      </c>
      <c r="K476" s="16" t="s">
        <v>3258</v>
      </c>
      <c r="L476" s="16" t="s">
        <v>3235</v>
      </c>
    </row>
    <row r="477" spans="1:12" x14ac:dyDescent="0.35">
      <c r="A477" s="16" t="s">
        <v>1662</v>
      </c>
      <c r="B477" s="17">
        <v>45787.402627314812</v>
      </c>
      <c r="C477" s="16" t="s">
        <v>260</v>
      </c>
      <c r="D477" s="16" t="s">
        <v>261</v>
      </c>
      <c r="E477" s="16" t="s">
        <v>1663</v>
      </c>
      <c r="F477" s="16" t="s">
        <v>69</v>
      </c>
      <c r="G477" s="16" t="s">
        <v>220</v>
      </c>
      <c r="H477" s="16" t="s">
        <v>277</v>
      </c>
      <c r="I477" s="16" t="s">
        <v>1664</v>
      </c>
      <c r="J477" s="16" t="s">
        <v>249</v>
      </c>
      <c r="K477" s="16" t="s">
        <v>3239</v>
      </c>
      <c r="L477" s="16" t="s">
        <v>3235</v>
      </c>
    </row>
    <row r="478" spans="1:12" x14ac:dyDescent="0.35">
      <c r="A478" s="16" t="s">
        <v>1665</v>
      </c>
      <c r="B478" s="17">
        <v>45452.747384259259</v>
      </c>
      <c r="C478" s="16" t="s">
        <v>228</v>
      </c>
      <c r="D478" s="16" t="s">
        <v>229</v>
      </c>
      <c r="E478" s="16" t="s">
        <v>1666</v>
      </c>
      <c r="F478" s="16" t="s">
        <v>69</v>
      </c>
      <c r="G478" s="16" t="s">
        <v>244</v>
      </c>
      <c r="H478" s="16" t="s">
        <v>221</v>
      </c>
      <c r="I478" s="16" t="s">
        <v>1667</v>
      </c>
      <c r="J478" s="16" t="s">
        <v>249</v>
      </c>
      <c r="K478" s="16" t="s">
        <v>3243</v>
      </c>
      <c r="L478" s="16" t="s">
        <v>3234</v>
      </c>
    </row>
    <row r="479" spans="1:12" x14ac:dyDescent="0.35">
      <c r="A479" s="16" t="s">
        <v>1668</v>
      </c>
      <c r="B479" s="17">
        <v>45854.744560185187</v>
      </c>
      <c r="C479" s="16" t="s">
        <v>241</v>
      </c>
      <c r="D479" s="16" t="s">
        <v>242</v>
      </c>
      <c r="E479" s="16" t="s">
        <v>1669</v>
      </c>
      <c r="F479" s="16" t="s">
        <v>219</v>
      </c>
      <c r="G479" s="16" t="s">
        <v>231</v>
      </c>
      <c r="H479" s="16" t="s">
        <v>238</v>
      </c>
      <c r="I479" s="16" t="s">
        <v>1670</v>
      </c>
      <c r="J479" s="16" t="s">
        <v>234</v>
      </c>
      <c r="K479" s="16" t="s">
        <v>3254</v>
      </c>
      <c r="L479" s="16" t="s">
        <v>3232</v>
      </c>
    </row>
    <row r="480" spans="1:12" x14ac:dyDescent="0.35">
      <c r="A480" s="16" t="s">
        <v>1671</v>
      </c>
      <c r="B480" s="17">
        <v>46271.8203587963</v>
      </c>
      <c r="C480" s="16" t="s">
        <v>216</v>
      </c>
      <c r="D480" s="16" t="s">
        <v>217</v>
      </c>
      <c r="E480" s="16" t="s">
        <v>1672</v>
      </c>
      <c r="F480" s="16" t="s">
        <v>219</v>
      </c>
      <c r="G480" s="16" t="s">
        <v>231</v>
      </c>
      <c r="H480" s="16" t="s">
        <v>273</v>
      </c>
      <c r="I480" s="16" t="s">
        <v>1673</v>
      </c>
      <c r="J480" s="16" t="s">
        <v>234</v>
      </c>
      <c r="K480" s="16" t="s">
        <v>3255</v>
      </c>
      <c r="L480" s="16" t="s">
        <v>3235</v>
      </c>
    </row>
    <row r="481" spans="1:12" x14ac:dyDescent="0.35">
      <c r="A481" s="16" t="s">
        <v>1674</v>
      </c>
      <c r="B481" s="17">
        <v>46234.478854166664</v>
      </c>
      <c r="C481" s="16" t="s">
        <v>260</v>
      </c>
      <c r="D481" s="16" t="s">
        <v>261</v>
      </c>
      <c r="E481" s="16" t="s">
        <v>1675</v>
      </c>
      <c r="F481" s="16" t="s">
        <v>69</v>
      </c>
      <c r="G481" s="16" t="s">
        <v>244</v>
      </c>
      <c r="H481" s="16" t="s">
        <v>221</v>
      </c>
      <c r="I481" s="16" t="s">
        <v>1676</v>
      </c>
      <c r="J481" s="16" t="s">
        <v>270</v>
      </c>
      <c r="K481" s="16" t="s">
        <v>3256</v>
      </c>
      <c r="L481" s="16" t="s">
        <v>3231</v>
      </c>
    </row>
    <row r="482" spans="1:12" x14ac:dyDescent="0.35">
      <c r="A482" s="16" t="s">
        <v>1677</v>
      </c>
      <c r="B482" s="17">
        <v>45823.283912037034</v>
      </c>
      <c r="C482" s="16" t="s">
        <v>301</v>
      </c>
      <c r="D482" s="16" t="s">
        <v>302</v>
      </c>
      <c r="E482" s="16" t="s">
        <v>1678</v>
      </c>
      <c r="F482" s="16" t="s">
        <v>237</v>
      </c>
      <c r="G482" s="16" t="s">
        <v>220</v>
      </c>
      <c r="H482" s="16" t="s">
        <v>238</v>
      </c>
      <c r="I482" s="16" t="s">
        <v>1679</v>
      </c>
      <c r="J482" s="16" t="s">
        <v>249</v>
      </c>
      <c r="K482" s="16" t="s">
        <v>3243</v>
      </c>
      <c r="L482" s="16" t="s">
        <v>3234</v>
      </c>
    </row>
    <row r="483" spans="1:12" x14ac:dyDescent="0.35">
      <c r="A483" s="16" t="s">
        <v>1680</v>
      </c>
      <c r="B483" s="17">
        <v>46160.319374999999</v>
      </c>
      <c r="C483" s="16" t="s">
        <v>301</v>
      </c>
      <c r="D483" s="16" t="s">
        <v>302</v>
      </c>
      <c r="E483" s="16" t="s">
        <v>1681</v>
      </c>
      <c r="F483" s="16" t="s">
        <v>219</v>
      </c>
      <c r="G483" s="16" t="s">
        <v>231</v>
      </c>
      <c r="H483" s="16" t="s">
        <v>277</v>
      </c>
      <c r="I483" s="16" t="s">
        <v>1682</v>
      </c>
      <c r="J483" s="16" t="s">
        <v>249</v>
      </c>
      <c r="K483" s="16" t="s">
        <v>3233</v>
      </c>
      <c r="L483" s="16" t="s">
        <v>3230</v>
      </c>
    </row>
    <row r="484" spans="1:12" x14ac:dyDescent="0.35">
      <c r="A484" s="16" t="s">
        <v>1683</v>
      </c>
      <c r="B484" s="17">
        <v>45560.873645833337</v>
      </c>
      <c r="C484" s="16" t="s">
        <v>260</v>
      </c>
      <c r="D484" s="16" t="s">
        <v>261</v>
      </c>
      <c r="E484" s="16" t="s">
        <v>1684</v>
      </c>
      <c r="F484" s="16" t="s">
        <v>69</v>
      </c>
      <c r="G484" s="16" t="s">
        <v>220</v>
      </c>
      <c r="H484" s="16" t="s">
        <v>277</v>
      </c>
      <c r="I484" s="16" t="s">
        <v>1685</v>
      </c>
      <c r="J484" s="16" t="s">
        <v>223</v>
      </c>
      <c r="K484" s="16" t="s">
        <v>3242</v>
      </c>
      <c r="L484" s="16" t="s">
        <v>3232</v>
      </c>
    </row>
    <row r="485" spans="1:12" x14ac:dyDescent="0.35">
      <c r="A485" s="16" t="s">
        <v>1686</v>
      </c>
      <c r="B485" s="17">
        <v>45598.717534722222</v>
      </c>
      <c r="C485" s="16" t="s">
        <v>260</v>
      </c>
      <c r="D485" s="16" t="s">
        <v>261</v>
      </c>
      <c r="E485" s="16" t="s">
        <v>1687</v>
      </c>
      <c r="F485" s="16" t="s">
        <v>69</v>
      </c>
      <c r="G485" s="16" t="s">
        <v>231</v>
      </c>
      <c r="H485" s="16" t="s">
        <v>277</v>
      </c>
      <c r="I485" s="16" t="s">
        <v>1688</v>
      </c>
      <c r="J485" s="16" t="s">
        <v>249</v>
      </c>
      <c r="K485" s="16" t="s">
        <v>3251</v>
      </c>
      <c r="L485" s="16" t="s">
        <v>3231</v>
      </c>
    </row>
    <row r="486" spans="1:12" x14ac:dyDescent="0.35">
      <c r="A486" s="16" t="s">
        <v>1689</v>
      </c>
      <c r="B486" s="17">
        <v>45389.604386574072</v>
      </c>
      <c r="C486" s="16" t="s">
        <v>260</v>
      </c>
      <c r="D486" s="16" t="s">
        <v>261</v>
      </c>
      <c r="E486" s="16" t="s">
        <v>1690</v>
      </c>
      <c r="F486" s="16" t="s">
        <v>219</v>
      </c>
      <c r="G486" s="16" t="s">
        <v>220</v>
      </c>
      <c r="H486" s="16" t="s">
        <v>238</v>
      </c>
      <c r="I486" s="16" t="s">
        <v>1691</v>
      </c>
      <c r="J486" s="16" t="s">
        <v>249</v>
      </c>
      <c r="K486" s="16" t="s">
        <v>3233</v>
      </c>
      <c r="L486" s="16" t="s">
        <v>3230</v>
      </c>
    </row>
    <row r="487" spans="1:12" x14ac:dyDescent="0.35">
      <c r="A487" s="16" t="s">
        <v>1692</v>
      </c>
      <c r="B487" s="17">
        <v>45977.394074074073</v>
      </c>
      <c r="C487" s="16" t="s">
        <v>260</v>
      </c>
      <c r="D487" s="16" t="s">
        <v>261</v>
      </c>
      <c r="E487" s="16" t="s">
        <v>1693</v>
      </c>
      <c r="F487" s="16" t="s">
        <v>237</v>
      </c>
      <c r="G487" s="16" t="s">
        <v>244</v>
      </c>
      <c r="H487" s="16" t="s">
        <v>221</v>
      </c>
      <c r="I487" s="16" t="s">
        <v>1694</v>
      </c>
      <c r="J487" s="16" t="s">
        <v>270</v>
      </c>
      <c r="K487" s="16" t="s">
        <v>3243</v>
      </c>
      <c r="L487" s="16" t="s">
        <v>3234</v>
      </c>
    </row>
    <row r="488" spans="1:12" x14ac:dyDescent="0.35">
      <c r="A488" s="16" t="s">
        <v>1695</v>
      </c>
      <c r="B488" s="17">
        <v>45699.875104166669</v>
      </c>
      <c r="C488" s="16" t="s">
        <v>260</v>
      </c>
      <c r="D488" s="16" t="s">
        <v>261</v>
      </c>
      <c r="E488" s="16" t="s">
        <v>1696</v>
      </c>
      <c r="F488" s="16" t="s">
        <v>219</v>
      </c>
      <c r="G488" s="16" t="s">
        <v>244</v>
      </c>
      <c r="H488" s="16" t="s">
        <v>221</v>
      </c>
      <c r="I488" s="16" t="s">
        <v>1697</v>
      </c>
      <c r="J488" s="16" t="s">
        <v>249</v>
      </c>
      <c r="K488" s="16" t="s">
        <v>3252</v>
      </c>
      <c r="L488" s="16" t="s">
        <v>3232</v>
      </c>
    </row>
    <row r="489" spans="1:12" x14ac:dyDescent="0.35">
      <c r="A489" s="16" t="s">
        <v>1698</v>
      </c>
      <c r="B489" s="17">
        <v>46290.67800925926</v>
      </c>
      <c r="C489" s="16" t="s">
        <v>301</v>
      </c>
      <c r="D489" s="16" t="s">
        <v>302</v>
      </c>
      <c r="E489" s="16" t="s">
        <v>1699</v>
      </c>
      <c r="F489" s="16" t="s">
        <v>237</v>
      </c>
      <c r="G489" s="16" t="s">
        <v>244</v>
      </c>
      <c r="H489" s="16" t="s">
        <v>238</v>
      </c>
      <c r="I489" s="16" t="s">
        <v>1700</v>
      </c>
      <c r="J489" s="16" t="s">
        <v>234</v>
      </c>
      <c r="K489" s="16" t="s">
        <v>3243</v>
      </c>
      <c r="L489" s="16" t="s">
        <v>3234</v>
      </c>
    </row>
    <row r="490" spans="1:12" x14ac:dyDescent="0.35">
      <c r="A490" s="16" t="s">
        <v>1701</v>
      </c>
      <c r="B490" s="17">
        <v>46120.108229166668</v>
      </c>
      <c r="C490" s="16" t="s">
        <v>228</v>
      </c>
      <c r="D490" s="16" t="s">
        <v>229</v>
      </c>
      <c r="E490" s="16" t="s">
        <v>1702</v>
      </c>
      <c r="F490" s="16" t="s">
        <v>69</v>
      </c>
      <c r="G490" s="16" t="s">
        <v>231</v>
      </c>
      <c r="H490" s="16" t="s">
        <v>238</v>
      </c>
      <c r="I490" s="16" t="s">
        <v>1703</v>
      </c>
      <c r="J490" s="16" t="s">
        <v>249</v>
      </c>
      <c r="K490" s="16" t="s">
        <v>3249</v>
      </c>
      <c r="L490" s="16" t="s">
        <v>3232</v>
      </c>
    </row>
    <row r="491" spans="1:12" x14ac:dyDescent="0.35">
      <c r="A491" s="16" t="s">
        <v>1704</v>
      </c>
      <c r="B491" s="17">
        <v>46101.411493055559</v>
      </c>
      <c r="C491" s="16" t="s">
        <v>301</v>
      </c>
      <c r="D491" s="16" t="s">
        <v>302</v>
      </c>
      <c r="E491" s="16" t="s">
        <v>1705</v>
      </c>
      <c r="F491" s="16" t="s">
        <v>237</v>
      </c>
      <c r="G491" s="16" t="s">
        <v>244</v>
      </c>
      <c r="H491" s="16" t="s">
        <v>238</v>
      </c>
      <c r="I491" s="16" t="s">
        <v>1706</v>
      </c>
      <c r="J491" s="16" t="s">
        <v>223</v>
      </c>
      <c r="K491" s="16" t="s">
        <v>3251</v>
      </c>
      <c r="L491" s="16" t="s">
        <v>3231</v>
      </c>
    </row>
    <row r="492" spans="1:12" x14ac:dyDescent="0.35">
      <c r="A492" s="16" t="s">
        <v>1707</v>
      </c>
      <c r="B492" s="17">
        <v>45548.355937499997</v>
      </c>
      <c r="C492" s="16" t="s">
        <v>228</v>
      </c>
      <c r="D492" s="16" t="s">
        <v>229</v>
      </c>
      <c r="E492" s="16" t="s">
        <v>1708</v>
      </c>
      <c r="F492" s="16" t="s">
        <v>237</v>
      </c>
      <c r="G492" s="16" t="s">
        <v>244</v>
      </c>
      <c r="H492" s="16" t="s">
        <v>277</v>
      </c>
      <c r="I492" s="16" t="s">
        <v>1709</v>
      </c>
      <c r="J492" s="16" t="s">
        <v>234</v>
      </c>
      <c r="K492" s="16" t="s">
        <v>3256</v>
      </c>
      <c r="L492" s="16" t="s">
        <v>3231</v>
      </c>
    </row>
    <row r="493" spans="1:12" x14ac:dyDescent="0.35">
      <c r="A493" s="16" t="s">
        <v>1710</v>
      </c>
      <c r="B493" s="17">
        <v>45422.717835648145</v>
      </c>
      <c r="C493" s="16" t="s">
        <v>260</v>
      </c>
      <c r="D493" s="16" t="s">
        <v>261</v>
      </c>
      <c r="E493" s="16" t="s">
        <v>1711</v>
      </c>
      <c r="F493" s="16" t="s">
        <v>69</v>
      </c>
      <c r="G493" s="16" t="s">
        <v>220</v>
      </c>
      <c r="H493" s="16" t="s">
        <v>221</v>
      </c>
      <c r="I493" s="16" t="s">
        <v>1712</v>
      </c>
      <c r="J493" s="16" t="s">
        <v>270</v>
      </c>
      <c r="K493" s="16" t="s">
        <v>3257</v>
      </c>
      <c r="L493" s="16" t="s">
        <v>3234</v>
      </c>
    </row>
    <row r="494" spans="1:12" x14ac:dyDescent="0.35">
      <c r="A494" s="16" t="s">
        <v>1713</v>
      </c>
      <c r="B494" s="17">
        <v>45610.127893518518</v>
      </c>
      <c r="C494" s="16" t="s">
        <v>216</v>
      </c>
      <c r="D494" s="16" t="s">
        <v>217</v>
      </c>
      <c r="E494" s="16" t="s">
        <v>1714</v>
      </c>
      <c r="F494" s="16" t="s">
        <v>237</v>
      </c>
      <c r="G494" s="16" t="s">
        <v>231</v>
      </c>
      <c r="H494" s="16" t="s">
        <v>238</v>
      </c>
      <c r="I494" s="16" t="s">
        <v>1715</v>
      </c>
      <c r="J494" s="16" t="s">
        <v>249</v>
      </c>
      <c r="K494" s="16" t="s">
        <v>3249</v>
      </c>
      <c r="L494" s="16" t="s">
        <v>3232</v>
      </c>
    </row>
    <row r="495" spans="1:12" x14ac:dyDescent="0.35">
      <c r="A495" s="16" t="s">
        <v>1716</v>
      </c>
      <c r="B495" s="17">
        <v>46370.25880787037</v>
      </c>
      <c r="C495" s="16" t="s">
        <v>260</v>
      </c>
      <c r="D495" s="16" t="s">
        <v>261</v>
      </c>
      <c r="E495" s="16" t="s">
        <v>1717</v>
      </c>
      <c r="F495" s="16" t="s">
        <v>69</v>
      </c>
      <c r="G495" s="16" t="s">
        <v>244</v>
      </c>
      <c r="H495" s="16" t="s">
        <v>277</v>
      </c>
      <c r="I495" s="16" t="s">
        <v>1718</v>
      </c>
      <c r="J495" s="16" t="s">
        <v>223</v>
      </c>
      <c r="K495" s="16" t="s">
        <v>3255</v>
      </c>
      <c r="L495" s="16" t="s">
        <v>3235</v>
      </c>
    </row>
    <row r="496" spans="1:12" x14ac:dyDescent="0.35">
      <c r="A496" s="16" t="s">
        <v>1719</v>
      </c>
      <c r="B496" s="17">
        <v>46203.204965277779</v>
      </c>
      <c r="C496" s="16" t="s">
        <v>260</v>
      </c>
      <c r="D496" s="16" t="s">
        <v>261</v>
      </c>
      <c r="E496" s="16" t="s">
        <v>1720</v>
      </c>
      <c r="F496" s="16" t="s">
        <v>69</v>
      </c>
      <c r="G496" s="16" t="s">
        <v>244</v>
      </c>
      <c r="H496" s="16" t="s">
        <v>273</v>
      </c>
      <c r="I496" s="16" t="s">
        <v>1721</v>
      </c>
      <c r="J496" s="16" t="s">
        <v>223</v>
      </c>
      <c r="K496" s="16" t="s">
        <v>3246</v>
      </c>
      <c r="L496" s="16" t="s">
        <v>3234</v>
      </c>
    </row>
    <row r="497" spans="1:12" x14ac:dyDescent="0.35">
      <c r="A497" s="16" t="s">
        <v>1722</v>
      </c>
      <c r="B497" s="17">
        <v>46003.730682870373</v>
      </c>
      <c r="C497" s="16" t="s">
        <v>241</v>
      </c>
      <c r="D497" s="16" t="s">
        <v>242</v>
      </c>
      <c r="E497" s="16" t="s">
        <v>1723</v>
      </c>
      <c r="F497" s="16" t="s">
        <v>69</v>
      </c>
      <c r="G497" s="16" t="s">
        <v>220</v>
      </c>
      <c r="H497" s="16" t="s">
        <v>273</v>
      </c>
      <c r="I497" s="16" t="s">
        <v>1724</v>
      </c>
      <c r="J497" s="16" t="s">
        <v>249</v>
      </c>
      <c r="K497" s="16" t="s">
        <v>3244</v>
      </c>
      <c r="L497" s="16" t="s">
        <v>3235</v>
      </c>
    </row>
    <row r="498" spans="1:12" x14ac:dyDescent="0.35">
      <c r="A498" s="16" t="s">
        <v>1725</v>
      </c>
      <c r="B498" s="17">
        <v>45913.016006944446</v>
      </c>
      <c r="C498" s="16" t="s">
        <v>260</v>
      </c>
      <c r="D498" s="16" t="s">
        <v>261</v>
      </c>
      <c r="E498" s="16" t="s">
        <v>1726</v>
      </c>
      <c r="F498" s="16" t="s">
        <v>219</v>
      </c>
      <c r="G498" s="16" t="s">
        <v>220</v>
      </c>
      <c r="H498" s="16" t="s">
        <v>238</v>
      </c>
      <c r="I498" s="16" t="s">
        <v>1727</v>
      </c>
      <c r="J498" s="16" t="s">
        <v>223</v>
      </c>
      <c r="K498" s="16" t="s">
        <v>3252</v>
      </c>
      <c r="L498" s="16" t="s">
        <v>3232</v>
      </c>
    </row>
    <row r="499" spans="1:12" x14ac:dyDescent="0.35">
      <c r="A499" s="16" t="s">
        <v>1728</v>
      </c>
      <c r="B499" s="17">
        <v>46269.454513888886</v>
      </c>
      <c r="C499" s="16" t="s">
        <v>241</v>
      </c>
      <c r="D499" s="16" t="s">
        <v>242</v>
      </c>
      <c r="E499" s="16" t="s">
        <v>1729</v>
      </c>
      <c r="F499" s="16" t="s">
        <v>237</v>
      </c>
      <c r="G499" s="16" t="s">
        <v>231</v>
      </c>
      <c r="H499" s="16" t="s">
        <v>221</v>
      </c>
      <c r="I499" s="16" t="s">
        <v>1730</v>
      </c>
      <c r="J499" s="16" t="s">
        <v>249</v>
      </c>
      <c r="K499" s="16" t="s">
        <v>3256</v>
      </c>
      <c r="L499" s="16" t="s">
        <v>3231</v>
      </c>
    </row>
    <row r="500" spans="1:12" x14ac:dyDescent="0.35">
      <c r="A500" s="16" t="s">
        <v>1731</v>
      </c>
      <c r="B500" s="17">
        <v>46187.59884259259</v>
      </c>
      <c r="C500" s="16" t="s">
        <v>228</v>
      </c>
      <c r="D500" s="16" t="s">
        <v>229</v>
      </c>
      <c r="E500" s="16" t="s">
        <v>1732</v>
      </c>
      <c r="F500" s="16" t="s">
        <v>69</v>
      </c>
      <c r="G500" s="16" t="s">
        <v>244</v>
      </c>
      <c r="H500" s="16" t="s">
        <v>232</v>
      </c>
      <c r="I500" s="16" t="s">
        <v>1733</v>
      </c>
      <c r="J500" s="16" t="s">
        <v>234</v>
      </c>
      <c r="K500" s="16" t="s">
        <v>3251</v>
      </c>
      <c r="L500" s="16" t="s">
        <v>3231</v>
      </c>
    </row>
    <row r="501" spans="1:12" x14ac:dyDescent="0.35">
      <c r="A501" s="16" t="s">
        <v>1734</v>
      </c>
      <c r="B501" s="17">
        <v>45782.783715277779</v>
      </c>
      <c r="C501" s="16" t="s">
        <v>301</v>
      </c>
      <c r="D501" s="16" t="s">
        <v>302</v>
      </c>
      <c r="E501" s="16" t="s">
        <v>1735</v>
      </c>
      <c r="F501" s="16" t="s">
        <v>219</v>
      </c>
      <c r="G501" s="16" t="s">
        <v>244</v>
      </c>
      <c r="H501" s="16" t="s">
        <v>221</v>
      </c>
      <c r="I501" s="16" t="s">
        <v>1736</v>
      </c>
      <c r="J501" s="16" t="s">
        <v>249</v>
      </c>
      <c r="K501" s="16" t="s">
        <v>3248</v>
      </c>
      <c r="L501" s="16" t="s">
        <v>3231</v>
      </c>
    </row>
    <row r="502" spans="1:12" x14ac:dyDescent="0.35">
      <c r="A502" s="16" t="s">
        <v>1737</v>
      </c>
      <c r="B502" s="17">
        <v>45665.207256944443</v>
      </c>
      <c r="C502" s="16" t="s">
        <v>260</v>
      </c>
      <c r="D502" s="16" t="s">
        <v>261</v>
      </c>
      <c r="E502" s="16" t="s">
        <v>1738</v>
      </c>
      <c r="F502" s="16" t="s">
        <v>69</v>
      </c>
      <c r="G502" s="16" t="s">
        <v>244</v>
      </c>
      <c r="H502" s="16" t="s">
        <v>277</v>
      </c>
      <c r="I502" s="16" t="s">
        <v>1739</v>
      </c>
      <c r="J502" s="16" t="s">
        <v>223</v>
      </c>
      <c r="K502" s="16" t="s">
        <v>3250</v>
      </c>
      <c r="L502" s="16" t="s">
        <v>3231</v>
      </c>
    </row>
    <row r="503" spans="1:12" x14ac:dyDescent="0.35">
      <c r="A503" s="16" t="s">
        <v>1740</v>
      </c>
      <c r="B503" s="17">
        <v>45676.48642361111</v>
      </c>
      <c r="C503" s="16" t="s">
        <v>301</v>
      </c>
      <c r="D503" s="16" t="s">
        <v>302</v>
      </c>
      <c r="E503" s="16" t="s">
        <v>1741</v>
      </c>
      <c r="F503" s="16" t="s">
        <v>69</v>
      </c>
      <c r="G503" s="16" t="s">
        <v>220</v>
      </c>
      <c r="H503" s="16" t="s">
        <v>273</v>
      </c>
      <c r="I503" s="16" t="s">
        <v>1742</v>
      </c>
      <c r="J503" s="16" t="s">
        <v>234</v>
      </c>
      <c r="K503" s="16" t="s">
        <v>3244</v>
      </c>
      <c r="L503" s="16" t="s">
        <v>3235</v>
      </c>
    </row>
    <row r="504" spans="1:12" x14ac:dyDescent="0.35">
      <c r="A504" s="16" t="s">
        <v>1743</v>
      </c>
      <c r="B504" s="17">
        <v>45548.665092592593</v>
      </c>
      <c r="C504" s="16" t="s">
        <v>216</v>
      </c>
      <c r="D504" s="16" t="s">
        <v>217</v>
      </c>
      <c r="E504" s="16" t="s">
        <v>1744</v>
      </c>
      <c r="F504" s="16" t="s">
        <v>69</v>
      </c>
      <c r="G504" s="16" t="s">
        <v>220</v>
      </c>
      <c r="H504" s="16" t="s">
        <v>238</v>
      </c>
      <c r="I504" s="16" t="s">
        <v>1745</v>
      </c>
      <c r="J504" s="16" t="s">
        <v>223</v>
      </c>
      <c r="K504" s="16" t="s">
        <v>3246</v>
      </c>
      <c r="L504" s="16" t="s">
        <v>3234</v>
      </c>
    </row>
    <row r="505" spans="1:12" x14ac:dyDescent="0.35">
      <c r="A505" s="16" t="s">
        <v>1746</v>
      </c>
      <c r="B505" s="17">
        <v>45930.756076388891</v>
      </c>
      <c r="C505" s="16" t="s">
        <v>228</v>
      </c>
      <c r="D505" s="16" t="s">
        <v>229</v>
      </c>
      <c r="E505" s="16" t="s">
        <v>1747</v>
      </c>
      <c r="F505" s="16" t="s">
        <v>237</v>
      </c>
      <c r="G505" s="16" t="s">
        <v>244</v>
      </c>
      <c r="H505" s="16" t="s">
        <v>238</v>
      </c>
      <c r="I505" s="16" t="s">
        <v>1748</v>
      </c>
      <c r="J505" s="16" t="s">
        <v>270</v>
      </c>
      <c r="K505" s="16" t="s">
        <v>3247</v>
      </c>
      <c r="L505" s="16" t="s">
        <v>3234</v>
      </c>
    </row>
    <row r="506" spans="1:12" x14ac:dyDescent="0.35">
      <c r="A506" s="16" t="s">
        <v>1749</v>
      </c>
      <c r="B506" s="17">
        <v>46095.108287037037</v>
      </c>
      <c r="C506" s="16" t="s">
        <v>228</v>
      </c>
      <c r="D506" s="16" t="s">
        <v>229</v>
      </c>
      <c r="E506" s="16" t="s">
        <v>1750</v>
      </c>
      <c r="F506" s="16" t="s">
        <v>237</v>
      </c>
      <c r="G506" s="16" t="s">
        <v>220</v>
      </c>
      <c r="H506" s="16" t="s">
        <v>221</v>
      </c>
      <c r="I506" s="16" t="s">
        <v>1751</v>
      </c>
      <c r="J506" s="16" t="s">
        <v>223</v>
      </c>
      <c r="K506" s="16" t="s">
        <v>3253</v>
      </c>
      <c r="L506" s="16" t="s">
        <v>3234</v>
      </c>
    </row>
    <row r="507" spans="1:12" x14ac:dyDescent="0.35">
      <c r="A507" s="16" t="s">
        <v>1752</v>
      </c>
      <c r="B507" s="17">
        <v>46080.671979166669</v>
      </c>
      <c r="C507" s="16" t="s">
        <v>216</v>
      </c>
      <c r="D507" s="16" t="s">
        <v>217</v>
      </c>
      <c r="E507" s="16" t="s">
        <v>1753</v>
      </c>
      <c r="F507" s="16" t="s">
        <v>219</v>
      </c>
      <c r="G507" s="16" t="s">
        <v>220</v>
      </c>
      <c r="H507" s="16" t="s">
        <v>221</v>
      </c>
      <c r="I507" s="16" t="s">
        <v>1754</v>
      </c>
      <c r="J507" s="16" t="s">
        <v>270</v>
      </c>
      <c r="K507" s="16" t="s">
        <v>3251</v>
      </c>
      <c r="L507" s="16" t="s">
        <v>3231</v>
      </c>
    </row>
    <row r="508" spans="1:12" x14ac:dyDescent="0.35">
      <c r="A508" s="16" t="s">
        <v>1755</v>
      </c>
      <c r="B508" s="17">
        <v>46088.47347222222</v>
      </c>
      <c r="C508" s="16" t="s">
        <v>241</v>
      </c>
      <c r="D508" s="16" t="s">
        <v>242</v>
      </c>
      <c r="E508" s="16" t="s">
        <v>1756</v>
      </c>
      <c r="F508" s="16" t="s">
        <v>69</v>
      </c>
      <c r="G508" s="16" t="s">
        <v>244</v>
      </c>
      <c r="H508" s="16" t="s">
        <v>277</v>
      </c>
      <c r="I508" s="16" t="s">
        <v>1757</v>
      </c>
      <c r="J508" s="16" t="s">
        <v>270</v>
      </c>
      <c r="K508" s="16" t="s">
        <v>3239</v>
      </c>
      <c r="L508" s="16" t="s">
        <v>3235</v>
      </c>
    </row>
    <row r="509" spans="1:12" x14ac:dyDescent="0.35">
      <c r="A509" s="16" t="s">
        <v>1758</v>
      </c>
      <c r="B509" s="17">
        <v>45698.546770833331</v>
      </c>
      <c r="C509" s="16" t="s">
        <v>301</v>
      </c>
      <c r="D509" s="16" t="s">
        <v>302</v>
      </c>
      <c r="E509" s="16" t="s">
        <v>1759</v>
      </c>
      <c r="F509" s="16" t="s">
        <v>219</v>
      </c>
      <c r="G509" s="16" t="s">
        <v>220</v>
      </c>
      <c r="H509" s="16" t="s">
        <v>232</v>
      </c>
      <c r="I509" s="16" t="s">
        <v>1760</v>
      </c>
      <c r="J509" s="16" t="s">
        <v>223</v>
      </c>
      <c r="K509" s="16" t="s">
        <v>3253</v>
      </c>
      <c r="L509" s="16" t="s">
        <v>3234</v>
      </c>
    </row>
    <row r="510" spans="1:12" x14ac:dyDescent="0.35">
      <c r="A510" s="16" t="s">
        <v>1761</v>
      </c>
      <c r="B510" s="17">
        <v>45857.887002314812</v>
      </c>
      <c r="C510" s="16" t="s">
        <v>301</v>
      </c>
      <c r="D510" s="16" t="s">
        <v>302</v>
      </c>
      <c r="E510" s="16" t="s">
        <v>1762</v>
      </c>
      <c r="F510" s="16" t="s">
        <v>237</v>
      </c>
      <c r="G510" s="16" t="s">
        <v>220</v>
      </c>
      <c r="H510" s="16" t="s">
        <v>221</v>
      </c>
      <c r="I510" s="16" t="s">
        <v>1763</v>
      </c>
      <c r="J510" s="16" t="s">
        <v>223</v>
      </c>
      <c r="K510" s="16" t="s">
        <v>3242</v>
      </c>
      <c r="L510" s="16" t="s">
        <v>3232</v>
      </c>
    </row>
    <row r="511" spans="1:12" x14ac:dyDescent="0.35">
      <c r="A511" s="16" t="s">
        <v>1764</v>
      </c>
      <c r="B511" s="17">
        <v>45475.377314814818</v>
      </c>
      <c r="C511" s="16" t="s">
        <v>241</v>
      </c>
      <c r="D511" s="16" t="s">
        <v>242</v>
      </c>
      <c r="E511" s="16" t="s">
        <v>1765</v>
      </c>
      <c r="F511" s="16" t="s">
        <v>237</v>
      </c>
      <c r="G511" s="16" t="s">
        <v>220</v>
      </c>
      <c r="H511" s="16" t="s">
        <v>277</v>
      </c>
      <c r="I511" s="16" t="s">
        <v>1628</v>
      </c>
      <c r="J511" s="16" t="s">
        <v>270</v>
      </c>
      <c r="K511" s="16" t="s">
        <v>3239</v>
      </c>
      <c r="L511" s="16" t="s">
        <v>3235</v>
      </c>
    </row>
    <row r="512" spans="1:12" x14ac:dyDescent="0.35">
      <c r="A512" s="16" t="s">
        <v>1766</v>
      </c>
      <c r="B512" s="17">
        <v>45511.190879629627</v>
      </c>
      <c r="C512" s="16" t="s">
        <v>216</v>
      </c>
      <c r="D512" s="16" t="s">
        <v>217</v>
      </c>
      <c r="E512" s="16" t="s">
        <v>1767</v>
      </c>
      <c r="F512" s="16" t="s">
        <v>69</v>
      </c>
      <c r="G512" s="16" t="s">
        <v>231</v>
      </c>
      <c r="H512" s="16" t="s">
        <v>238</v>
      </c>
      <c r="I512" s="16" t="s">
        <v>1768</v>
      </c>
      <c r="J512" s="16" t="s">
        <v>234</v>
      </c>
      <c r="K512" s="16" t="s">
        <v>3249</v>
      </c>
      <c r="L512" s="16" t="s">
        <v>3232</v>
      </c>
    </row>
    <row r="513" spans="1:12" x14ac:dyDescent="0.35">
      <c r="A513" s="16" t="s">
        <v>1769</v>
      </c>
      <c r="B513" s="17">
        <v>45567.380312499998</v>
      </c>
      <c r="C513" s="16" t="s">
        <v>216</v>
      </c>
      <c r="D513" s="16" t="s">
        <v>217</v>
      </c>
      <c r="E513" s="16" t="s">
        <v>1770</v>
      </c>
      <c r="F513" s="16" t="s">
        <v>237</v>
      </c>
      <c r="G513" s="16" t="s">
        <v>244</v>
      </c>
      <c r="H513" s="16" t="s">
        <v>232</v>
      </c>
      <c r="I513" s="16" t="s">
        <v>1771</v>
      </c>
      <c r="J513" s="16" t="s">
        <v>249</v>
      </c>
      <c r="K513" s="16" t="s">
        <v>3237</v>
      </c>
      <c r="L513" s="16" t="s">
        <v>3230</v>
      </c>
    </row>
    <row r="514" spans="1:12" x14ac:dyDescent="0.35">
      <c r="A514" s="16" t="s">
        <v>1772</v>
      </c>
      <c r="B514" s="17">
        <v>45674.824687499997</v>
      </c>
      <c r="C514" s="16" t="s">
        <v>241</v>
      </c>
      <c r="D514" s="16" t="s">
        <v>242</v>
      </c>
      <c r="E514" s="16" t="s">
        <v>1773</v>
      </c>
      <c r="F514" s="16" t="s">
        <v>237</v>
      </c>
      <c r="G514" s="16" t="s">
        <v>244</v>
      </c>
      <c r="H514" s="16" t="s">
        <v>232</v>
      </c>
      <c r="I514" s="16" t="s">
        <v>1774</v>
      </c>
      <c r="J514" s="16" t="s">
        <v>234</v>
      </c>
      <c r="K514" s="16" t="s">
        <v>3257</v>
      </c>
      <c r="L514" s="16" t="s">
        <v>3234</v>
      </c>
    </row>
    <row r="515" spans="1:12" x14ac:dyDescent="0.35">
      <c r="A515" s="16" t="s">
        <v>1775</v>
      </c>
      <c r="B515" s="17">
        <v>46212.448541666665</v>
      </c>
      <c r="C515" s="16" t="s">
        <v>216</v>
      </c>
      <c r="D515" s="16" t="s">
        <v>217</v>
      </c>
      <c r="E515" s="16" t="s">
        <v>1776</v>
      </c>
      <c r="F515" s="16" t="s">
        <v>219</v>
      </c>
      <c r="G515" s="16" t="s">
        <v>231</v>
      </c>
      <c r="H515" s="16" t="s">
        <v>273</v>
      </c>
      <c r="I515" s="16" t="s">
        <v>1777</v>
      </c>
      <c r="J515" s="16" t="s">
        <v>223</v>
      </c>
      <c r="K515" s="16" t="s">
        <v>3246</v>
      </c>
      <c r="L515" s="16" t="s">
        <v>3234</v>
      </c>
    </row>
    <row r="516" spans="1:12" x14ac:dyDescent="0.35">
      <c r="A516" s="16" t="s">
        <v>1778</v>
      </c>
      <c r="B516" s="17">
        <v>46037.94085648148</v>
      </c>
      <c r="C516" s="16" t="s">
        <v>228</v>
      </c>
      <c r="D516" s="16" t="s">
        <v>229</v>
      </c>
      <c r="E516" s="16" t="s">
        <v>1779</v>
      </c>
      <c r="F516" s="16" t="s">
        <v>237</v>
      </c>
      <c r="G516" s="16" t="s">
        <v>244</v>
      </c>
      <c r="H516" s="16" t="s">
        <v>221</v>
      </c>
      <c r="I516" s="16" t="s">
        <v>1780</v>
      </c>
      <c r="J516" s="16" t="s">
        <v>223</v>
      </c>
      <c r="K516" s="16" t="s">
        <v>3243</v>
      </c>
      <c r="L516" s="16" t="s">
        <v>3234</v>
      </c>
    </row>
    <row r="517" spans="1:12" x14ac:dyDescent="0.35">
      <c r="A517" s="16" t="s">
        <v>1781</v>
      </c>
      <c r="B517" s="17">
        <v>45607.93</v>
      </c>
      <c r="C517" s="16" t="s">
        <v>228</v>
      </c>
      <c r="D517" s="16" t="s">
        <v>229</v>
      </c>
      <c r="E517" s="16" t="s">
        <v>1782</v>
      </c>
      <c r="F517" s="16" t="s">
        <v>237</v>
      </c>
      <c r="G517" s="16" t="s">
        <v>231</v>
      </c>
      <c r="H517" s="16" t="s">
        <v>273</v>
      </c>
      <c r="I517" s="16" t="s">
        <v>1783</v>
      </c>
      <c r="J517" s="16" t="s">
        <v>270</v>
      </c>
      <c r="K517" s="16" t="s">
        <v>3245</v>
      </c>
      <c r="L517" s="16" t="s">
        <v>3232</v>
      </c>
    </row>
    <row r="518" spans="1:12" x14ac:dyDescent="0.35">
      <c r="A518" s="16" t="s">
        <v>1784</v>
      </c>
      <c r="B518" s="17">
        <v>45557.270995370367</v>
      </c>
      <c r="C518" s="16" t="s">
        <v>241</v>
      </c>
      <c r="D518" s="16" t="s">
        <v>242</v>
      </c>
      <c r="E518" s="16" t="s">
        <v>1785</v>
      </c>
      <c r="F518" s="16" t="s">
        <v>69</v>
      </c>
      <c r="G518" s="16" t="s">
        <v>220</v>
      </c>
      <c r="H518" s="16" t="s">
        <v>221</v>
      </c>
      <c r="I518" s="16" t="s">
        <v>1786</v>
      </c>
      <c r="J518" s="16" t="s">
        <v>270</v>
      </c>
      <c r="K518" s="16" t="s">
        <v>3258</v>
      </c>
      <c r="L518" s="16" t="s">
        <v>3235</v>
      </c>
    </row>
    <row r="519" spans="1:12" x14ac:dyDescent="0.35">
      <c r="A519" s="16" t="s">
        <v>1787</v>
      </c>
      <c r="B519" s="17">
        <v>46295.797685185185</v>
      </c>
      <c r="C519" s="16" t="s">
        <v>216</v>
      </c>
      <c r="D519" s="16" t="s">
        <v>217</v>
      </c>
      <c r="E519" s="16" t="s">
        <v>1788</v>
      </c>
      <c r="F519" s="16" t="s">
        <v>219</v>
      </c>
      <c r="G519" s="16" t="s">
        <v>244</v>
      </c>
      <c r="H519" s="16" t="s">
        <v>273</v>
      </c>
      <c r="I519" s="16" t="s">
        <v>1789</v>
      </c>
      <c r="J519" s="16" t="s">
        <v>249</v>
      </c>
      <c r="K519" s="16" t="s">
        <v>3236</v>
      </c>
      <c r="L519" s="16" t="s">
        <v>3230</v>
      </c>
    </row>
    <row r="520" spans="1:12" x14ac:dyDescent="0.35">
      <c r="A520" s="16" t="s">
        <v>1790</v>
      </c>
      <c r="B520" s="17">
        <v>45318.316655092596</v>
      </c>
      <c r="C520" s="16" t="s">
        <v>228</v>
      </c>
      <c r="D520" s="16" t="s">
        <v>229</v>
      </c>
      <c r="E520" s="16" t="s">
        <v>1791</v>
      </c>
      <c r="F520" s="16" t="s">
        <v>237</v>
      </c>
      <c r="G520" s="16" t="s">
        <v>220</v>
      </c>
      <c r="H520" s="16" t="s">
        <v>273</v>
      </c>
      <c r="I520" s="16" t="s">
        <v>1792</v>
      </c>
      <c r="J520" s="16" t="s">
        <v>270</v>
      </c>
      <c r="K520" s="16" t="s">
        <v>3233</v>
      </c>
      <c r="L520" s="16" t="s">
        <v>3230</v>
      </c>
    </row>
    <row r="521" spans="1:12" x14ac:dyDescent="0.35">
      <c r="A521" s="16" t="s">
        <v>1793</v>
      </c>
      <c r="B521" s="17">
        <v>46047.088437500002</v>
      </c>
      <c r="C521" s="16" t="s">
        <v>301</v>
      </c>
      <c r="D521" s="16" t="s">
        <v>302</v>
      </c>
      <c r="E521" s="16" t="s">
        <v>1794</v>
      </c>
      <c r="F521" s="16" t="s">
        <v>237</v>
      </c>
      <c r="G521" s="16" t="s">
        <v>244</v>
      </c>
      <c r="H521" s="16" t="s">
        <v>273</v>
      </c>
      <c r="I521" s="16" t="s">
        <v>1795</v>
      </c>
      <c r="J521" s="16" t="s">
        <v>270</v>
      </c>
      <c r="K521" s="16" t="s">
        <v>3243</v>
      </c>
      <c r="L521" s="16" t="s">
        <v>3234</v>
      </c>
    </row>
    <row r="522" spans="1:12" x14ac:dyDescent="0.35">
      <c r="A522" s="16" t="s">
        <v>1796</v>
      </c>
      <c r="B522" s="17">
        <v>46355.147326388891</v>
      </c>
      <c r="C522" s="16" t="s">
        <v>301</v>
      </c>
      <c r="D522" s="16" t="s">
        <v>302</v>
      </c>
      <c r="E522" s="16" t="s">
        <v>1797</v>
      </c>
      <c r="F522" s="16" t="s">
        <v>219</v>
      </c>
      <c r="G522" s="16" t="s">
        <v>220</v>
      </c>
      <c r="H522" s="16" t="s">
        <v>221</v>
      </c>
      <c r="I522" s="16" t="s">
        <v>1798</v>
      </c>
      <c r="J522" s="16" t="s">
        <v>234</v>
      </c>
      <c r="K522" s="16" t="s">
        <v>3249</v>
      </c>
      <c r="L522" s="16" t="s">
        <v>3232</v>
      </c>
    </row>
    <row r="523" spans="1:12" x14ac:dyDescent="0.35">
      <c r="A523" s="16" t="s">
        <v>1799</v>
      </c>
      <c r="B523" s="17">
        <v>45658.847141203703</v>
      </c>
      <c r="C523" s="16" t="s">
        <v>228</v>
      </c>
      <c r="D523" s="16" t="s">
        <v>229</v>
      </c>
      <c r="E523" s="16" t="s">
        <v>1800</v>
      </c>
      <c r="F523" s="16" t="s">
        <v>237</v>
      </c>
      <c r="G523" s="16" t="s">
        <v>244</v>
      </c>
      <c r="H523" s="16" t="s">
        <v>273</v>
      </c>
      <c r="I523" s="16" t="s">
        <v>1801</v>
      </c>
      <c r="J523" s="16" t="s">
        <v>249</v>
      </c>
      <c r="K523" s="16" t="s">
        <v>3252</v>
      </c>
      <c r="L523" s="16" t="s">
        <v>3232</v>
      </c>
    </row>
    <row r="524" spans="1:12" x14ac:dyDescent="0.35">
      <c r="A524" s="16" t="s">
        <v>1802</v>
      </c>
      <c r="B524" s="17">
        <v>45633.273657407408</v>
      </c>
      <c r="C524" s="16" t="s">
        <v>260</v>
      </c>
      <c r="D524" s="16" t="s">
        <v>261</v>
      </c>
      <c r="E524" s="16" t="s">
        <v>1803</v>
      </c>
      <c r="F524" s="16" t="s">
        <v>237</v>
      </c>
      <c r="G524" s="16" t="s">
        <v>244</v>
      </c>
      <c r="H524" s="16" t="s">
        <v>232</v>
      </c>
      <c r="I524" s="16" t="s">
        <v>1804</v>
      </c>
      <c r="J524" s="16" t="s">
        <v>234</v>
      </c>
      <c r="K524" s="16" t="s">
        <v>3253</v>
      </c>
      <c r="L524" s="16" t="s">
        <v>3234</v>
      </c>
    </row>
    <row r="525" spans="1:12" x14ac:dyDescent="0.35">
      <c r="A525" s="16" t="s">
        <v>1805</v>
      </c>
      <c r="B525" s="17">
        <v>46013.478090277778</v>
      </c>
      <c r="C525" s="16" t="s">
        <v>241</v>
      </c>
      <c r="D525" s="16" t="s">
        <v>242</v>
      </c>
      <c r="E525" s="16" t="s">
        <v>1806</v>
      </c>
      <c r="F525" s="16" t="s">
        <v>237</v>
      </c>
      <c r="G525" s="16" t="s">
        <v>231</v>
      </c>
      <c r="H525" s="16" t="s">
        <v>273</v>
      </c>
      <c r="I525" s="16" t="s">
        <v>1807</v>
      </c>
      <c r="J525" s="16" t="s">
        <v>223</v>
      </c>
      <c r="K525" s="16" t="s">
        <v>3251</v>
      </c>
      <c r="L525" s="16" t="s">
        <v>3231</v>
      </c>
    </row>
    <row r="526" spans="1:12" x14ac:dyDescent="0.35">
      <c r="A526" s="16" t="s">
        <v>1808</v>
      </c>
      <c r="B526" s="17">
        <v>45730.568981481483</v>
      </c>
      <c r="C526" s="16" t="s">
        <v>301</v>
      </c>
      <c r="D526" s="16" t="s">
        <v>302</v>
      </c>
      <c r="E526" s="16" t="s">
        <v>1809</v>
      </c>
      <c r="F526" s="16" t="s">
        <v>219</v>
      </c>
      <c r="G526" s="16" t="s">
        <v>231</v>
      </c>
      <c r="H526" s="16" t="s">
        <v>273</v>
      </c>
      <c r="I526" s="16" t="s">
        <v>1810</v>
      </c>
      <c r="J526" s="16" t="s">
        <v>223</v>
      </c>
      <c r="K526" s="16" t="s">
        <v>3243</v>
      </c>
      <c r="L526" s="16" t="s">
        <v>3234</v>
      </c>
    </row>
    <row r="527" spans="1:12" x14ac:dyDescent="0.35">
      <c r="A527" s="16" t="s">
        <v>1811</v>
      </c>
      <c r="B527" s="17">
        <v>45874.903784722221</v>
      </c>
      <c r="C527" s="16" t="s">
        <v>260</v>
      </c>
      <c r="D527" s="16" t="s">
        <v>261</v>
      </c>
      <c r="E527" s="16" t="s">
        <v>1812</v>
      </c>
      <c r="F527" s="16" t="s">
        <v>219</v>
      </c>
      <c r="G527" s="16" t="s">
        <v>220</v>
      </c>
      <c r="H527" s="16" t="s">
        <v>221</v>
      </c>
      <c r="I527" s="16" t="s">
        <v>1813</v>
      </c>
      <c r="J527" s="16" t="s">
        <v>249</v>
      </c>
      <c r="K527" s="16" t="s">
        <v>3251</v>
      </c>
      <c r="L527" s="16" t="s">
        <v>3231</v>
      </c>
    </row>
    <row r="528" spans="1:12" x14ac:dyDescent="0.35">
      <c r="A528" s="16" t="s">
        <v>1814</v>
      </c>
      <c r="B528" s="17">
        <v>45336.418634259258</v>
      </c>
      <c r="C528" s="16" t="s">
        <v>228</v>
      </c>
      <c r="D528" s="16" t="s">
        <v>229</v>
      </c>
      <c r="E528" s="16" t="s">
        <v>1815</v>
      </c>
      <c r="F528" s="16" t="s">
        <v>219</v>
      </c>
      <c r="G528" s="16" t="s">
        <v>244</v>
      </c>
      <c r="H528" s="16" t="s">
        <v>277</v>
      </c>
      <c r="I528" s="16" t="s">
        <v>1816</v>
      </c>
      <c r="J528" s="16" t="s">
        <v>270</v>
      </c>
      <c r="K528" s="16" t="s">
        <v>3253</v>
      </c>
      <c r="L528" s="16" t="s">
        <v>3234</v>
      </c>
    </row>
    <row r="529" spans="1:12" x14ac:dyDescent="0.35">
      <c r="A529" s="16" t="s">
        <v>1817</v>
      </c>
      <c r="B529" s="17">
        <v>45575.401990740742</v>
      </c>
      <c r="C529" s="16" t="s">
        <v>260</v>
      </c>
      <c r="D529" s="16" t="s">
        <v>261</v>
      </c>
      <c r="E529" s="16" t="s">
        <v>1818</v>
      </c>
      <c r="F529" s="16" t="s">
        <v>219</v>
      </c>
      <c r="G529" s="16" t="s">
        <v>220</v>
      </c>
      <c r="H529" s="16" t="s">
        <v>238</v>
      </c>
      <c r="I529" s="16" t="s">
        <v>589</v>
      </c>
      <c r="J529" s="16" t="s">
        <v>249</v>
      </c>
      <c r="K529" s="16" t="s">
        <v>3247</v>
      </c>
      <c r="L529" s="16" t="s">
        <v>3234</v>
      </c>
    </row>
    <row r="530" spans="1:12" x14ac:dyDescent="0.35">
      <c r="A530" s="16" t="s">
        <v>1819</v>
      </c>
      <c r="B530" s="17">
        <v>45737.117106481484</v>
      </c>
      <c r="C530" s="16" t="s">
        <v>216</v>
      </c>
      <c r="D530" s="16" t="s">
        <v>217</v>
      </c>
      <c r="E530" s="16" t="s">
        <v>1820</v>
      </c>
      <c r="F530" s="16" t="s">
        <v>237</v>
      </c>
      <c r="G530" s="16" t="s">
        <v>220</v>
      </c>
      <c r="H530" s="16" t="s">
        <v>273</v>
      </c>
      <c r="I530" s="16" t="s">
        <v>1821</v>
      </c>
      <c r="J530" s="16" t="s">
        <v>270</v>
      </c>
      <c r="K530" s="16" t="s">
        <v>3233</v>
      </c>
      <c r="L530" s="16" t="s">
        <v>3230</v>
      </c>
    </row>
    <row r="531" spans="1:12" x14ac:dyDescent="0.35">
      <c r="A531" s="16" t="s">
        <v>1822</v>
      </c>
      <c r="B531" s="17">
        <v>46073.119050925925</v>
      </c>
      <c r="C531" s="16" t="s">
        <v>241</v>
      </c>
      <c r="D531" s="16" t="s">
        <v>242</v>
      </c>
      <c r="E531" s="16" t="s">
        <v>1823</v>
      </c>
      <c r="F531" s="16" t="s">
        <v>237</v>
      </c>
      <c r="G531" s="16" t="s">
        <v>231</v>
      </c>
      <c r="H531" s="16" t="s">
        <v>238</v>
      </c>
      <c r="I531" s="16" t="s">
        <v>1824</v>
      </c>
      <c r="J531" s="16" t="s">
        <v>270</v>
      </c>
      <c r="K531" s="16" t="s">
        <v>3238</v>
      </c>
      <c r="L531" s="16" t="s">
        <v>3230</v>
      </c>
    </row>
    <row r="532" spans="1:12" x14ac:dyDescent="0.35">
      <c r="A532" s="16" t="s">
        <v>1825</v>
      </c>
      <c r="B532" s="17">
        <v>46075.082106481481</v>
      </c>
      <c r="C532" s="16" t="s">
        <v>228</v>
      </c>
      <c r="D532" s="16" t="s">
        <v>229</v>
      </c>
      <c r="E532" s="16" t="s">
        <v>1826</v>
      </c>
      <c r="F532" s="16" t="s">
        <v>219</v>
      </c>
      <c r="G532" s="16" t="s">
        <v>220</v>
      </c>
      <c r="H532" s="16" t="s">
        <v>273</v>
      </c>
      <c r="I532" s="16" t="s">
        <v>1827</v>
      </c>
      <c r="J532" s="16" t="s">
        <v>234</v>
      </c>
      <c r="K532" s="16" t="s">
        <v>3241</v>
      </c>
      <c r="L532" s="16" t="s">
        <v>3231</v>
      </c>
    </row>
    <row r="533" spans="1:12" x14ac:dyDescent="0.35">
      <c r="A533" s="16" t="s">
        <v>1828</v>
      </c>
      <c r="B533" s="17">
        <v>45605.076631944445</v>
      </c>
      <c r="C533" s="16" t="s">
        <v>301</v>
      </c>
      <c r="D533" s="16" t="s">
        <v>302</v>
      </c>
      <c r="E533" s="16" t="s">
        <v>1829</v>
      </c>
      <c r="F533" s="16" t="s">
        <v>219</v>
      </c>
      <c r="G533" s="16" t="s">
        <v>231</v>
      </c>
      <c r="H533" s="16" t="s">
        <v>273</v>
      </c>
      <c r="I533" s="16" t="s">
        <v>1830</v>
      </c>
      <c r="J533" s="16" t="s">
        <v>270</v>
      </c>
      <c r="K533" s="16" t="s">
        <v>3236</v>
      </c>
      <c r="L533" s="16" t="s">
        <v>3230</v>
      </c>
    </row>
    <row r="534" spans="1:12" x14ac:dyDescent="0.35">
      <c r="A534" s="16" t="s">
        <v>1831</v>
      </c>
      <c r="B534" s="17">
        <v>46099.224537037036</v>
      </c>
      <c r="C534" s="16" t="s">
        <v>228</v>
      </c>
      <c r="D534" s="16" t="s">
        <v>229</v>
      </c>
      <c r="E534" s="16" t="s">
        <v>1832</v>
      </c>
      <c r="F534" s="16" t="s">
        <v>237</v>
      </c>
      <c r="G534" s="16" t="s">
        <v>220</v>
      </c>
      <c r="H534" s="16" t="s">
        <v>232</v>
      </c>
      <c r="I534" s="16" t="s">
        <v>1833</v>
      </c>
      <c r="J534" s="16" t="s">
        <v>270</v>
      </c>
      <c r="K534" s="16" t="s">
        <v>3229</v>
      </c>
      <c r="L534" s="16" t="s">
        <v>3230</v>
      </c>
    </row>
    <row r="535" spans="1:12" x14ac:dyDescent="0.35">
      <c r="A535" s="16" t="s">
        <v>1834</v>
      </c>
      <c r="B535" s="17">
        <v>45466.604571759257</v>
      </c>
      <c r="C535" s="16" t="s">
        <v>241</v>
      </c>
      <c r="D535" s="16" t="s">
        <v>242</v>
      </c>
      <c r="E535" s="16" t="s">
        <v>1835</v>
      </c>
      <c r="F535" s="16" t="s">
        <v>237</v>
      </c>
      <c r="G535" s="16" t="s">
        <v>244</v>
      </c>
      <c r="H535" s="16" t="s">
        <v>232</v>
      </c>
      <c r="I535" s="16" t="s">
        <v>1836</v>
      </c>
      <c r="J535" s="16" t="s">
        <v>223</v>
      </c>
      <c r="K535" s="16" t="s">
        <v>3246</v>
      </c>
      <c r="L535" s="16" t="s">
        <v>3234</v>
      </c>
    </row>
    <row r="536" spans="1:12" x14ac:dyDescent="0.35">
      <c r="A536" s="16" t="s">
        <v>1837</v>
      </c>
      <c r="B536" s="17">
        <v>46101.989479166667</v>
      </c>
      <c r="C536" s="16" t="s">
        <v>241</v>
      </c>
      <c r="D536" s="16" t="s">
        <v>242</v>
      </c>
      <c r="E536" s="16" t="s">
        <v>1838</v>
      </c>
      <c r="F536" s="16" t="s">
        <v>69</v>
      </c>
      <c r="G536" s="16" t="s">
        <v>244</v>
      </c>
      <c r="H536" s="16" t="s">
        <v>277</v>
      </c>
      <c r="I536" s="16" t="s">
        <v>1839</v>
      </c>
      <c r="J536" s="16" t="s">
        <v>234</v>
      </c>
      <c r="K536" s="16" t="s">
        <v>3248</v>
      </c>
      <c r="L536" s="16" t="s">
        <v>3231</v>
      </c>
    </row>
    <row r="537" spans="1:12" x14ac:dyDescent="0.35">
      <c r="A537" s="16" t="s">
        <v>1840</v>
      </c>
      <c r="B537" s="17">
        <v>45954.873831018522</v>
      </c>
      <c r="C537" s="16" t="s">
        <v>216</v>
      </c>
      <c r="D537" s="16" t="s">
        <v>217</v>
      </c>
      <c r="E537" s="16" t="s">
        <v>1841</v>
      </c>
      <c r="F537" s="16" t="s">
        <v>69</v>
      </c>
      <c r="G537" s="16" t="s">
        <v>244</v>
      </c>
      <c r="H537" s="16" t="s">
        <v>238</v>
      </c>
      <c r="I537" s="16" t="s">
        <v>1842</v>
      </c>
      <c r="J537" s="16" t="s">
        <v>249</v>
      </c>
      <c r="K537" s="16" t="s">
        <v>3237</v>
      </c>
      <c r="L537" s="16" t="s">
        <v>3230</v>
      </c>
    </row>
    <row r="538" spans="1:12" x14ac:dyDescent="0.35">
      <c r="A538" s="16" t="s">
        <v>1843</v>
      </c>
      <c r="B538" s="17">
        <v>45997.900925925926</v>
      </c>
      <c r="C538" s="16" t="s">
        <v>301</v>
      </c>
      <c r="D538" s="16" t="s">
        <v>302</v>
      </c>
      <c r="E538" s="16" t="s">
        <v>1844</v>
      </c>
      <c r="F538" s="16" t="s">
        <v>69</v>
      </c>
      <c r="G538" s="16" t="s">
        <v>231</v>
      </c>
      <c r="H538" s="16" t="s">
        <v>277</v>
      </c>
      <c r="I538" s="16" t="s">
        <v>1845</v>
      </c>
      <c r="J538" s="16" t="s">
        <v>223</v>
      </c>
      <c r="K538" s="16" t="s">
        <v>3237</v>
      </c>
      <c r="L538" s="16" t="s">
        <v>3230</v>
      </c>
    </row>
    <row r="539" spans="1:12" x14ac:dyDescent="0.35">
      <c r="A539" s="16" t="s">
        <v>1846</v>
      </c>
      <c r="B539" s="17">
        <v>45383.354201388887</v>
      </c>
      <c r="C539" s="16" t="s">
        <v>241</v>
      </c>
      <c r="D539" s="16" t="s">
        <v>242</v>
      </c>
      <c r="E539" s="16" t="s">
        <v>1847</v>
      </c>
      <c r="F539" s="16" t="s">
        <v>219</v>
      </c>
      <c r="G539" s="16" t="s">
        <v>231</v>
      </c>
      <c r="H539" s="16" t="s">
        <v>277</v>
      </c>
      <c r="I539" s="16" t="s">
        <v>1848</v>
      </c>
      <c r="J539" s="16" t="s">
        <v>270</v>
      </c>
      <c r="K539" s="16" t="s">
        <v>3250</v>
      </c>
      <c r="L539" s="16" t="s">
        <v>3231</v>
      </c>
    </row>
    <row r="540" spans="1:12" x14ac:dyDescent="0.35">
      <c r="A540" s="16" t="s">
        <v>1849</v>
      </c>
      <c r="B540" s="17">
        <v>45594.436423611114</v>
      </c>
      <c r="C540" s="16" t="s">
        <v>216</v>
      </c>
      <c r="D540" s="16" t="s">
        <v>217</v>
      </c>
      <c r="E540" s="16" t="s">
        <v>1850</v>
      </c>
      <c r="F540" s="16" t="s">
        <v>237</v>
      </c>
      <c r="G540" s="16" t="s">
        <v>244</v>
      </c>
      <c r="H540" s="16" t="s">
        <v>221</v>
      </c>
      <c r="I540" s="16" t="s">
        <v>1851</v>
      </c>
      <c r="J540" s="16" t="s">
        <v>223</v>
      </c>
      <c r="K540" s="16" t="s">
        <v>3246</v>
      </c>
      <c r="L540" s="16" t="s">
        <v>3234</v>
      </c>
    </row>
    <row r="541" spans="1:12" x14ac:dyDescent="0.35">
      <c r="A541" s="16" t="s">
        <v>1852</v>
      </c>
      <c r="B541" s="17">
        <v>45720.816168981481</v>
      </c>
      <c r="C541" s="16" t="s">
        <v>260</v>
      </c>
      <c r="D541" s="16" t="s">
        <v>261</v>
      </c>
      <c r="E541" s="16" t="s">
        <v>1853</v>
      </c>
      <c r="F541" s="16" t="s">
        <v>69</v>
      </c>
      <c r="G541" s="16" t="s">
        <v>244</v>
      </c>
      <c r="H541" s="16" t="s">
        <v>221</v>
      </c>
      <c r="I541" s="16" t="s">
        <v>1854</v>
      </c>
      <c r="J541" s="16" t="s">
        <v>223</v>
      </c>
      <c r="K541" s="16" t="s">
        <v>3245</v>
      </c>
      <c r="L541" s="16" t="s">
        <v>3232</v>
      </c>
    </row>
    <row r="542" spans="1:12" x14ac:dyDescent="0.35">
      <c r="A542" s="16" t="s">
        <v>1855</v>
      </c>
      <c r="B542" s="17">
        <v>46063.884432870371</v>
      </c>
      <c r="C542" s="16" t="s">
        <v>241</v>
      </c>
      <c r="D542" s="16" t="s">
        <v>242</v>
      </c>
      <c r="E542" s="16" t="s">
        <v>1856</v>
      </c>
      <c r="F542" s="16" t="s">
        <v>219</v>
      </c>
      <c r="G542" s="16" t="s">
        <v>220</v>
      </c>
      <c r="H542" s="16" t="s">
        <v>277</v>
      </c>
      <c r="I542" s="16" t="s">
        <v>1857</v>
      </c>
      <c r="J542" s="16" t="s">
        <v>270</v>
      </c>
      <c r="K542" s="16" t="s">
        <v>3247</v>
      </c>
      <c r="L542" s="16" t="s">
        <v>3234</v>
      </c>
    </row>
    <row r="543" spans="1:12" x14ac:dyDescent="0.35">
      <c r="A543" s="16" t="s">
        <v>1858</v>
      </c>
      <c r="B543" s="17">
        <v>45847.080520833333</v>
      </c>
      <c r="C543" s="16" t="s">
        <v>301</v>
      </c>
      <c r="D543" s="16" t="s">
        <v>302</v>
      </c>
      <c r="E543" s="16" t="s">
        <v>1859</v>
      </c>
      <c r="F543" s="16" t="s">
        <v>219</v>
      </c>
      <c r="G543" s="16" t="s">
        <v>220</v>
      </c>
      <c r="H543" s="16" t="s">
        <v>277</v>
      </c>
      <c r="I543" s="16" t="s">
        <v>1860</v>
      </c>
      <c r="J543" s="16" t="s">
        <v>249</v>
      </c>
      <c r="K543" s="16" t="s">
        <v>3242</v>
      </c>
      <c r="L543" s="16" t="s">
        <v>3232</v>
      </c>
    </row>
    <row r="544" spans="1:12" x14ac:dyDescent="0.35">
      <c r="A544" s="16" t="s">
        <v>1861</v>
      </c>
      <c r="B544" s="17">
        <v>45891.985173611109</v>
      </c>
      <c r="C544" s="16" t="s">
        <v>301</v>
      </c>
      <c r="D544" s="16" t="s">
        <v>302</v>
      </c>
      <c r="E544" s="16" t="s">
        <v>1862</v>
      </c>
      <c r="F544" s="16" t="s">
        <v>69</v>
      </c>
      <c r="G544" s="16" t="s">
        <v>231</v>
      </c>
      <c r="H544" s="16" t="s">
        <v>221</v>
      </c>
      <c r="I544" s="16" t="s">
        <v>1863</v>
      </c>
      <c r="J544" s="16" t="s">
        <v>270</v>
      </c>
      <c r="K544" s="16" t="s">
        <v>3252</v>
      </c>
      <c r="L544" s="16" t="s">
        <v>3232</v>
      </c>
    </row>
    <row r="545" spans="1:12" x14ac:dyDescent="0.35">
      <c r="A545" s="16" t="s">
        <v>1864</v>
      </c>
      <c r="B545" s="17">
        <v>46380.133530092593</v>
      </c>
      <c r="C545" s="16" t="s">
        <v>301</v>
      </c>
      <c r="D545" s="16" t="s">
        <v>302</v>
      </c>
      <c r="E545" s="16" t="s">
        <v>1865</v>
      </c>
      <c r="F545" s="16" t="s">
        <v>69</v>
      </c>
      <c r="G545" s="16" t="s">
        <v>244</v>
      </c>
      <c r="H545" s="16" t="s">
        <v>232</v>
      </c>
      <c r="I545" s="16" t="s">
        <v>1866</v>
      </c>
      <c r="J545" s="16" t="s">
        <v>270</v>
      </c>
      <c r="K545" s="16" t="s">
        <v>3239</v>
      </c>
      <c r="L545" s="16" t="s">
        <v>3235</v>
      </c>
    </row>
    <row r="546" spans="1:12" x14ac:dyDescent="0.35">
      <c r="A546" s="16" t="s">
        <v>1867</v>
      </c>
      <c r="B546" s="17">
        <v>45916.506030092591</v>
      </c>
      <c r="C546" s="16" t="s">
        <v>216</v>
      </c>
      <c r="D546" s="16" t="s">
        <v>217</v>
      </c>
      <c r="E546" s="16" t="s">
        <v>1868</v>
      </c>
      <c r="F546" s="16" t="s">
        <v>237</v>
      </c>
      <c r="G546" s="16" t="s">
        <v>244</v>
      </c>
      <c r="H546" s="16" t="s">
        <v>277</v>
      </c>
      <c r="I546" s="16" t="s">
        <v>1869</v>
      </c>
      <c r="J546" s="16" t="s">
        <v>249</v>
      </c>
      <c r="K546" s="16" t="s">
        <v>3255</v>
      </c>
      <c r="L546" s="16" t="s">
        <v>3235</v>
      </c>
    </row>
    <row r="547" spans="1:12" x14ac:dyDescent="0.35">
      <c r="A547" s="16" t="s">
        <v>1870</v>
      </c>
      <c r="B547" s="17">
        <v>45775.760416666664</v>
      </c>
      <c r="C547" s="16" t="s">
        <v>301</v>
      </c>
      <c r="D547" s="16" t="s">
        <v>302</v>
      </c>
      <c r="E547" s="16" t="s">
        <v>1871</v>
      </c>
      <c r="F547" s="16" t="s">
        <v>69</v>
      </c>
      <c r="G547" s="16" t="s">
        <v>244</v>
      </c>
      <c r="H547" s="16" t="s">
        <v>238</v>
      </c>
      <c r="I547" s="16" t="s">
        <v>1872</v>
      </c>
      <c r="J547" s="16" t="s">
        <v>270</v>
      </c>
      <c r="K547" s="16" t="s">
        <v>3247</v>
      </c>
      <c r="L547" s="16" t="s">
        <v>3234</v>
      </c>
    </row>
    <row r="548" spans="1:12" x14ac:dyDescent="0.35">
      <c r="A548" s="16" t="s">
        <v>1873</v>
      </c>
      <c r="B548" s="17">
        <v>45602.518495370372</v>
      </c>
      <c r="C548" s="16" t="s">
        <v>241</v>
      </c>
      <c r="D548" s="16" t="s">
        <v>242</v>
      </c>
      <c r="E548" s="16" t="s">
        <v>1874</v>
      </c>
      <c r="F548" s="16" t="s">
        <v>219</v>
      </c>
      <c r="G548" s="16" t="s">
        <v>220</v>
      </c>
      <c r="H548" s="16" t="s">
        <v>238</v>
      </c>
      <c r="I548" s="16" t="s">
        <v>1875</v>
      </c>
      <c r="J548" s="16" t="s">
        <v>223</v>
      </c>
      <c r="K548" s="16" t="s">
        <v>3242</v>
      </c>
      <c r="L548" s="16" t="s">
        <v>3232</v>
      </c>
    </row>
    <row r="549" spans="1:12" x14ac:dyDescent="0.35">
      <c r="A549" s="16" t="s">
        <v>1876</v>
      </c>
      <c r="B549" s="17">
        <v>46146.364629629628</v>
      </c>
      <c r="C549" s="16" t="s">
        <v>241</v>
      </c>
      <c r="D549" s="16" t="s">
        <v>242</v>
      </c>
      <c r="E549" s="16" t="s">
        <v>1877</v>
      </c>
      <c r="F549" s="16" t="s">
        <v>69</v>
      </c>
      <c r="G549" s="16" t="s">
        <v>231</v>
      </c>
      <c r="H549" s="16" t="s">
        <v>273</v>
      </c>
      <c r="I549" s="16" t="s">
        <v>1878</v>
      </c>
      <c r="J549" s="16" t="s">
        <v>249</v>
      </c>
      <c r="K549" s="16" t="s">
        <v>3253</v>
      </c>
      <c r="L549" s="16" t="s">
        <v>3234</v>
      </c>
    </row>
    <row r="550" spans="1:12" x14ac:dyDescent="0.35">
      <c r="A550" s="16" t="s">
        <v>1879</v>
      </c>
      <c r="B550" s="17">
        <v>45715.989814814813</v>
      </c>
      <c r="C550" s="16" t="s">
        <v>260</v>
      </c>
      <c r="D550" s="16" t="s">
        <v>261</v>
      </c>
      <c r="E550" s="16" t="s">
        <v>1880</v>
      </c>
      <c r="F550" s="16" t="s">
        <v>219</v>
      </c>
      <c r="G550" s="16" t="s">
        <v>244</v>
      </c>
      <c r="H550" s="16" t="s">
        <v>273</v>
      </c>
      <c r="I550" s="16" t="s">
        <v>1881</v>
      </c>
      <c r="J550" s="16" t="s">
        <v>249</v>
      </c>
      <c r="K550" s="16" t="s">
        <v>3253</v>
      </c>
      <c r="L550" s="16" t="s">
        <v>3234</v>
      </c>
    </row>
    <row r="551" spans="1:12" x14ac:dyDescent="0.35">
      <c r="A551" s="16" t="s">
        <v>1882</v>
      </c>
      <c r="B551" s="17">
        <v>45589.995520833334</v>
      </c>
      <c r="C551" s="16" t="s">
        <v>241</v>
      </c>
      <c r="D551" s="16" t="s">
        <v>242</v>
      </c>
      <c r="E551" s="16" t="s">
        <v>1883</v>
      </c>
      <c r="F551" s="16" t="s">
        <v>69</v>
      </c>
      <c r="G551" s="16" t="s">
        <v>231</v>
      </c>
      <c r="H551" s="16" t="s">
        <v>277</v>
      </c>
      <c r="I551" s="16" t="s">
        <v>1884</v>
      </c>
      <c r="J551" s="16" t="s">
        <v>270</v>
      </c>
      <c r="K551" s="16" t="s">
        <v>3236</v>
      </c>
      <c r="L551" s="16" t="s">
        <v>3230</v>
      </c>
    </row>
    <row r="552" spans="1:12" x14ac:dyDescent="0.35">
      <c r="A552" s="16" t="s">
        <v>1885</v>
      </c>
      <c r="B552" s="17">
        <v>45352.483460648145</v>
      </c>
      <c r="C552" s="16" t="s">
        <v>228</v>
      </c>
      <c r="D552" s="16" t="s">
        <v>229</v>
      </c>
      <c r="E552" s="16" t="s">
        <v>1886</v>
      </c>
      <c r="F552" s="16" t="s">
        <v>237</v>
      </c>
      <c r="G552" s="16" t="s">
        <v>231</v>
      </c>
      <c r="H552" s="16" t="s">
        <v>238</v>
      </c>
      <c r="I552" s="16" t="s">
        <v>1887</v>
      </c>
      <c r="J552" s="16" t="s">
        <v>249</v>
      </c>
      <c r="K552" s="16" t="s">
        <v>3251</v>
      </c>
      <c r="L552" s="16" t="s">
        <v>3231</v>
      </c>
    </row>
    <row r="553" spans="1:12" x14ac:dyDescent="0.35">
      <c r="A553" s="16" t="s">
        <v>1888</v>
      </c>
      <c r="B553" s="17">
        <v>45561.280266203707</v>
      </c>
      <c r="C553" s="16" t="s">
        <v>228</v>
      </c>
      <c r="D553" s="16" t="s">
        <v>229</v>
      </c>
      <c r="E553" s="16" t="s">
        <v>1889</v>
      </c>
      <c r="F553" s="16" t="s">
        <v>219</v>
      </c>
      <c r="G553" s="16" t="s">
        <v>244</v>
      </c>
      <c r="H553" s="16" t="s">
        <v>277</v>
      </c>
      <c r="I553" s="16" t="s">
        <v>1890</v>
      </c>
      <c r="J553" s="16" t="s">
        <v>234</v>
      </c>
      <c r="K553" s="16" t="s">
        <v>3252</v>
      </c>
      <c r="L553" s="16" t="s">
        <v>3232</v>
      </c>
    </row>
    <row r="554" spans="1:12" x14ac:dyDescent="0.35">
      <c r="A554" s="16" t="s">
        <v>1891</v>
      </c>
      <c r="B554" s="17">
        <v>45345.545011574075</v>
      </c>
      <c r="C554" s="16" t="s">
        <v>241</v>
      </c>
      <c r="D554" s="16" t="s">
        <v>242</v>
      </c>
      <c r="E554" s="16" t="s">
        <v>1892</v>
      </c>
      <c r="F554" s="16" t="s">
        <v>219</v>
      </c>
      <c r="G554" s="16" t="s">
        <v>231</v>
      </c>
      <c r="H554" s="16" t="s">
        <v>277</v>
      </c>
      <c r="I554" s="16" t="s">
        <v>1893</v>
      </c>
      <c r="J554" s="16" t="s">
        <v>223</v>
      </c>
      <c r="K554" s="16" t="s">
        <v>3253</v>
      </c>
      <c r="L554" s="16" t="s">
        <v>3234</v>
      </c>
    </row>
    <row r="555" spans="1:12" x14ac:dyDescent="0.35">
      <c r="A555" s="16" t="s">
        <v>1894</v>
      </c>
      <c r="B555" s="17">
        <v>46298.718842592592</v>
      </c>
      <c r="C555" s="16" t="s">
        <v>301</v>
      </c>
      <c r="D555" s="16" t="s">
        <v>302</v>
      </c>
      <c r="E555" s="16" t="s">
        <v>1895</v>
      </c>
      <c r="F555" s="16" t="s">
        <v>69</v>
      </c>
      <c r="G555" s="16" t="s">
        <v>220</v>
      </c>
      <c r="H555" s="16" t="s">
        <v>277</v>
      </c>
      <c r="I555" s="16" t="s">
        <v>1896</v>
      </c>
      <c r="J555" s="16" t="s">
        <v>223</v>
      </c>
      <c r="K555" s="16" t="s">
        <v>3258</v>
      </c>
      <c r="L555" s="16" t="s">
        <v>3235</v>
      </c>
    </row>
    <row r="556" spans="1:12" x14ac:dyDescent="0.35">
      <c r="A556" s="16" t="s">
        <v>1897</v>
      </c>
      <c r="B556" s="17">
        <v>45747.307696759257</v>
      </c>
      <c r="C556" s="16" t="s">
        <v>216</v>
      </c>
      <c r="D556" s="16" t="s">
        <v>217</v>
      </c>
      <c r="E556" s="16" t="s">
        <v>1898</v>
      </c>
      <c r="F556" s="16" t="s">
        <v>69</v>
      </c>
      <c r="G556" s="16" t="s">
        <v>220</v>
      </c>
      <c r="H556" s="16" t="s">
        <v>238</v>
      </c>
      <c r="I556" s="16" t="s">
        <v>1899</v>
      </c>
      <c r="J556" s="16" t="s">
        <v>223</v>
      </c>
      <c r="K556" s="16" t="s">
        <v>3253</v>
      </c>
      <c r="L556" s="16" t="s">
        <v>3234</v>
      </c>
    </row>
    <row r="557" spans="1:12" x14ac:dyDescent="0.35">
      <c r="A557" s="16" t="s">
        <v>1900</v>
      </c>
      <c r="B557" s="17">
        <v>46167.614189814813</v>
      </c>
      <c r="C557" s="16" t="s">
        <v>301</v>
      </c>
      <c r="D557" s="16" t="s">
        <v>302</v>
      </c>
      <c r="E557" s="16" t="s">
        <v>1901</v>
      </c>
      <c r="F557" s="16" t="s">
        <v>219</v>
      </c>
      <c r="G557" s="16" t="s">
        <v>244</v>
      </c>
      <c r="H557" s="16" t="s">
        <v>232</v>
      </c>
      <c r="I557" s="16" t="s">
        <v>1902</v>
      </c>
      <c r="J557" s="16" t="s">
        <v>249</v>
      </c>
      <c r="K557" s="16" t="s">
        <v>3253</v>
      </c>
      <c r="L557" s="16" t="s">
        <v>3234</v>
      </c>
    </row>
    <row r="558" spans="1:12" x14ac:dyDescent="0.35">
      <c r="A558" s="16" t="s">
        <v>1903</v>
      </c>
      <c r="B558" s="17">
        <v>46367.973009259258</v>
      </c>
      <c r="C558" s="16" t="s">
        <v>260</v>
      </c>
      <c r="D558" s="16" t="s">
        <v>261</v>
      </c>
      <c r="E558" s="16" t="s">
        <v>1904</v>
      </c>
      <c r="F558" s="16" t="s">
        <v>219</v>
      </c>
      <c r="G558" s="16" t="s">
        <v>220</v>
      </c>
      <c r="H558" s="16" t="s">
        <v>273</v>
      </c>
      <c r="I558" s="16" t="s">
        <v>1905</v>
      </c>
      <c r="J558" s="16" t="s">
        <v>270</v>
      </c>
      <c r="K558" s="16" t="s">
        <v>3249</v>
      </c>
      <c r="L558" s="16" t="s">
        <v>3232</v>
      </c>
    </row>
    <row r="559" spans="1:12" x14ac:dyDescent="0.35">
      <c r="A559" s="16" t="s">
        <v>1906</v>
      </c>
      <c r="B559" s="17">
        <v>46102.059537037036</v>
      </c>
      <c r="C559" s="16" t="s">
        <v>228</v>
      </c>
      <c r="D559" s="16" t="s">
        <v>229</v>
      </c>
      <c r="E559" s="16" t="s">
        <v>1907</v>
      </c>
      <c r="F559" s="16" t="s">
        <v>237</v>
      </c>
      <c r="G559" s="16" t="s">
        <v>244</v>
      </c>
      <c r="H559" s="16" t="s">
        <v>273</v>
      </c>
      <c r="I559" s="16" t="s">
        <v>1908</v>
      </c>
      <c r="J559" s="16" t="s">
        <v>249</v>
      </c>
      <c r="K559" s="16" t="s">
        <v>3243</v>
      </c>
      <c r="L559" s="16" t="s">
        <v>3234</v>
      </c>
    </row>
    <row r="560" spans="1:12" x14ac:dyDescent="0.35">
      <c r="A560" s="16" t="s">
        <v>1909</v>
      </c>
      <c r="B560" s="17">
        <v>45877.699872685182</v>
      </c>
      <c r="C560" s="16" t="s">
        <v>260</v>
      </c>
      <c r="D560" s="16" t="s">
        <v>261</v>
      </c>
      <c r="E560" s="16" t="s">
        <v>1910</v>
      </c>
      <c r="F560" s="16" t="s">
        <v>237</v>
      </c>
      <c r="G560" s="16" t="s">
        <v>231</v>
      </c>
      <c r="H560" s="16" t="s">
        <v>232</v>
      </c>
      <c r="I560" s="16" t="s">
        <v>1911</v>
      </c>
      <c r="J560" s="16" t="s">
        <v>234</v>
      </c>
      <c r="K560" s="16" t="s">
        <v>3249</v>
      </c>
      <c r="L560" s="16" t="s">
        <v>3232</v>
      </c>
    </row>
    <row r="561" spans="1:12" x14ac:dyDescent="0.35">
      <c r="A561" s="16" t="s">
        <v>1912</v>
      </c>
      <c r="B561" s="17">
        <v>46317.171678240738</v>
      </c>
      <c r="C561" s="16" t="s">
        <v>260</v>
      </c>
      <c r="D561" s="16" t="s">
        <v>261</v>
      </c>
      <c r="E561" s="16" t="s">
        <v>1913</v>
      </c>
      <c r="F561" s="16" t="s">
        <v>219</v>
      </c>
      <c r="G561" s="16" t="s">
        <v>244</v>
      </c>
      <c r="H561" s="16" t="s">
        <v>232</v>
      </c>
      <c r="I561" s="16" t="s">
        <v>1914</v>
      </c>
      <c r="J561" s="16" t="s">
        <v>223</v>
      </c>
      <c r="K561" s="16" t="s">
        <v>3258</v>
      </c>
      <c r="L561" s="16" t="s">
        <v>3235</v>
      </c>
    </row>
    <row r="562" spans="1:12" x14ac:dyDescent="0.35">
      <c r="A562" s="16" t="s">
        <v>1915</v>
      </c>
      <c r="B562" s="17">
        <v>45343.271354166667</v>
      </c>
      <c r="C562" s="16" t="s">
        <v>260</v>
      </c>
      <c r="D562" s="16" t="s">
        <v>261</v>
      </c>
      <c r="E562" s="16" t="s">
        <v>1916</v>
      </c>
      <c r="F562" s="16" t="s">
        <v>219</v>
      </c>
      <c r="G562" s="16" t="s">
        <v>244</v>
      </c>
      <c r="H562" s="16" t="s">
        <v>238</v>
      </c>
      <c r="I562" s="16" t="s">
        <v>1917</v>
      </c>
      <c r="J562" s="16" t="s">
        <v>270</v>
      </c>
      <c r="K562" s="16" t="s">
        <v>3258</v>
      </c>
      <c r="L562" s="16" t="s">
        <v>3235</v>
      </c>
    </row>
    <row r="563" spans="1:12" x14ac:dyDescent="0.35">
      <c r="A563" s="16" t="s">
        <v>1918</v>
      </c>
      <c r="B563" s="17">
        <v>45545.138333333336</v>
      </c>
      <c r="C563" s="16" t="s">
        <v>301</v>
      </c>
      <c r="D563" s="16" t="s">
        <v>302</v>
      </c>
      <c r="E563" s="16" t="s">
        <v>1919</v>
      </c>
      <c r="F563" s="16" t="s">
        <v>219</v>
      </c>
      <c r="G563" s="16" t="s">
        <v>231</v>
      </c>
      <c r="H563" s="16" t="s">
        <v>238</v>
      </c>
      <c r="I563" s="16" t="s">
        <v>1920</v>
      </c>
      <c r="J563" s="16" t="s">
        <v>223</v>
      </c>
      <c r="K563" s="16" t="s">
        <v>3248</v>
      </c>
      <c r="L563" s="16" t="s">
        <v>3231</v>
      </c>
    </row>
    <row r="564" spans="1:12" x14ac:dyDescent="0.35">
      <c r="A564" s="16" t="s">
        <v>1921</v>
      </c>
      <c r="B564" s="17">
        <v>46067.83488425926</v>
      </c>
      <c r="C564" s="16" t="s">
        <v>241</v>
      </c>
      <c r="D564" s="16" t="s">
        <v>242</v>
      </c>
      <c r="E564" s="16" t="s">
        <v>1922</v>
      </c>
      <c r="F564" s="16" t="s">
        <v>69</v>
      </c>
      <c r="G564" s="16" t="s">
        <v>220</v>
      </c>
      <c r="H564" s="16" t="s">
        <v>273</v>
      </c>
      <c r="I564" s="16" t="s">
        <v>1923</v>
      </c>
      <c r="J564" s="16" t="s">
        <v>234</v>
      </c>
      <c r="K564" s="16" t="s">
        <v>3253</v>
      </c>
      <c r="L564" s="16" t="s">
        <v>3234</v>
      </c>
    </row>
    <row r="565" spans="1:12" x14ac:dyDescent="0.35">
      <c r="A565" s="16" t="s">
        <v>1924</v>
      </c>
      <c r="B565" s="17">
        <v>45397.636516203704</v>
      </c>
      <c r="C565" s="16" t="s">
        <v>228</v>
      </c>
      <c r="D565" s="16" t="s">
        <v>229</v>
      </c>
      <c r="E565" s="16" t="s">
        <v>1925</v>
      </c>
      <c r="F565" s="16" t="s">
        <v>237</v>
      </c>
      <c r="G565" s="16" t="s">
        <v>244</v>
      </c>
      <c r="H565" s="16" t="s">
        <v>277</v>
      </c>
      <c r="I565" s="16" t="s">
        <v>1926</v>
      </c>
      <c r="J565" s="16" t="s">
        <v>234</v>
      </c>
      <c r="K565" s="16" t="s">
        <v>3233</v>
      </c>
      <c r="L565" s="16" t="s">
        <v>3230</v>
      </c>
    </row>
    <row r="566" spans="1:12" x14ac:dyDescent="0.35">
      <c r="A566" s="16" t="s">
        <v>1927</v>
      </c>
      <c r="B566" s="17">
        <v>45299.944444444445</v>
      </c>
      <c r="C566" s="16" t="s">
        <v>216</v>
      </c>
      <c r="D566" s="16" t="s">
        <v>217</v>
      </c>
      <c r="E566" s="16" t="s">
        <v>1928</v>
      </c>
      <c r="F566" s="16" t="s">
        <v>69</v>
      </c>
      <c r="G566" s="16" t="s">
        <v>231</v>
      </c>
      <c r="H566" s="16" t="s">
        <v>277</v>
      </c>
      <c r="I566" s="16" t="s">
        <v>1929</v>
      </c>
      <c r="J566" s="16" t="s">
        <v>270</v>
      </c>
      <c r="K566" s="16" t="s">
        <v>3233</v>
      </c>
      <c r="L566" s="16" t="s">
        <v>3230</v>
      </c>
    </row>
    <row r="567" spans="1:12" x14ac:dyDescent="0.35">
      <c r="A567" s="16" t="s">
        <v>1930</v>
      </c>
      <c r="B567" s="17">
        <v>45736.893321759257</v>
      </c>
      <c r="C567" s="16" t="s">
        <v>241</v>
      </c>
      <c r="D567" s="16" t="s">
        <v>242</v>
      </c>
      <c r="E567" s="16" t="s">
        <v>1931</v>
      </c>
      <c r="F567" s="16" t="s">
        <v>237</v>
      </c>
      <c r="G567" s="16" t="s">
        <v>231</v>
      </c>
      <c r="H567" s="16" t="s">
        <v>232</v>
      </c>
      <c r="I567" s="16" t="s">
        <v>1932</v>
      </c>
      <c r="J567" s="16" t="s">
        <v>270</v>
      </c>
      <c r="K567" s="16" t="s">
        <v>3253</v>
      </c>
      <c r="L567" s="16" t="s">
        <v>3234</v>
      </c>
    </row>
    <row r="568" spans="1:12" x14ac:dyDescent="0.35">
      <c r="A568" s="16" t="s">
        <v>1933</v>
      </c>
      <c r="B568" s="17">
        <v>45793.830335648148</v>
      </c>
      <c r="C568" s="16" t="s">
        <v>241</v>
      </c>
      <c r="D568" s="16" t="s">
        <v>242</v>
      </c>
      <c r="E568" s="16" t="s">
        <v>1934</v>
      </c>
      <c r="F568" s="16" t="s">
        <v>219</v>
      </c>
      <c r="G568" s="16" t="s">
        <v>244</v>
      </c>
      <c r="H568" s="16" t="s">
        <v>273</v>
      </c>
      <c r="I568" s="16" t="s">
        <v>1935</v>
      </c>
      <c r="J568" s="16" t="s">
        <v>234</v>
      </c>
      <c r="K568" s="16" t="s">
        <v>3245</v>
      </c>
      <c r="L568" s="16" t="s">
        <v>3232</v>
      </c>
    </row>
    <row r="569" spans="1:12" x14ac:dyDescent="0.35">
      <c r="A569" s="16" t="s">
        <v>1936</v>
      </c>
      <c r="B569" s="17">
        <v>45367.220532407409</v>
      </c>
      <c r="C569" s="16" t="s">
        <v>228</v>
      </c>
      <c r="D569" s="16" t="s">
        <v>229</v>
      </c>
      <c r="E569" s="16" t="s">
        <v>1937</v>
      </c>
      <c r="F569" s="16" t="s">
        <v>219</v>
      </c>
      <c r="G569" s="16" t="s">
        <v>244</v>
      </c>
      <c r="H569" s="16" t="s">
        <v>221</v>
      </c>
      <c r="I569" s="16" t="s">
        <v>1938</v>
      </c>
      <c r="J569" s="16" t="s">
        <v>270</v>
      </c>
      <c r="K569" s="16" t="s">
        <v>3241</v>
      </c>
      <c r="L569" s="16" t="s">
        <v>3231</v>
      </c>
    </row>
    <row r="570" spans="1:12" x14ac:dyDescent="0.35">
      <c r="A570" s="16" t="s">
        <v>1939</v>
      </c>
      <c r="B570" s="17">
        <v>45657.244745370372</v>
      </c>
      <c r="C570" s="16" t="s">
        <v>216</v>
      </c>
      <c r="D570" s="16" t="s">
        <v>217</v>
      </c>
      <c r="E570" s="16" t="s">
        <v>1940</v>
      </c>
      <c r="F570" s="16" t="s">
        <v>237</v>
      </c>
      <c r="G570" s="16" t="s">
        <v>244</v>
      </c>
      <c r="H570" s="16" t="s">
        <v>221</v>
      </c>
      <c r="I570" s="16" t="s">
        <v>1941</v>
      </c>
      <c r="J570" s="16" t="s">
        <v>249</v>
      </c>
      <c r="K570" s="16" t="s">
        <v>3245</v>
      </c>
      <c r="L570" s="16" t="s">
        <v>3232</v>
      </c>
    </row>
    <row r="571" spans="1:12" x14ac:dyDescent="0.35">
      <c r="A571" s="16" t="s">
        <v>1942</v>
      </c>
      <c r="B571" s="17">
        <v>45953.559131944443</v>
      </c>
      <c r="C571" s="16" t="s">
        <v>216</v>
      </c>
      <c r="D571" s="16" t="s">
        <v>217</v>
      </c>
      <c r="E571" s="16" t="s">
        <v>1943</v>
      </c>
      <c r="F571" s="16" t="s">
        <v>69</v>
      </c>
      <c r="G571" s="16" t="s">
        <v>231</v>
      </c>
      <c r="H571" s="16" t="s">
        <v>221</v>
      </c>
      <c r="I571" s="16" t="s">
        <v>1944</v>
      </c>
      <c r="J571" s="16" t="s">
        <v>223</v>
      </c>
      <c r="K571" s="16" t="s">
        <v>3241</v>
      </c>
      <c r="L571" s="16" t="s">
        <v>3231</v>
      </c>
    </row>
    <row r="572" spans="1:12" x14ac:dyDescent="0.35">
      <c r="A572" s="16" t="s">
        <v>1945</v>
      </c>
      <c r="B572" s="17">
        <v>45966.79954861111</v>
      </c>
      <c r="C572" s="16" t="s">
        <v>228</v>
      </c>
      <c r="D572" s="16" t="s">
        <v>229</v>
      </c>
      <c r="E572" s="16" t="s">
        <v>1946</v>
      </c>
      <c r="F572" s="16" t="s">
        <v>219</v>
      </c>
      <c r="G572" s="16" t="s">
        <v>220</v>
      </c>
      <c r="H572" s="16" t="s">
        <v>221</v>
      </c>
      <c r="I572" s="16" t="s">
        <v>1947</v>
      </c>
      <c r="J572" s="16" t="s">
        <v>270</v>
      </c>
      <c r="K572" s="16" t="s">
        <v>3229</v>
      </c>
      <c r="L572" s="16" t="s">
        <v>3230</v>
      </c>
    </row>
    <row r="573" spans="1:12" x14ac:dyDescent="0.35">
      <c r="A573" s="16" t="s">
        <v>1948</v>
      </c>
      <c r="B573" s="17">
        <v>45471.733726851853</v>
      </c>
      <c r="C573" s="16" t="s">
        <v>216</v>
      </c>
      <c r="D573" s="16" t="s">
        <v>217</v>
      </c>
      <c r="E573" s="16" t="s">
        <v>1949</v>
      </c>
      <c r="F573" s="16" t="s">
        <v>219</v>
      </c>
      <c r="G573" s="16" t="s">
        <v>231</v>
      </c>
      <c r="H573" s="16" t="s">
        <v>273</v>
      </c>
      <c r="I573" s="16" t="s">
        <v>1950</v>
      </c>
      <c r="J573" s="16" t="s">
        <v>249</v>
      </c>
      <c r="K573" s="16" t="s">
        <v>3256</v>
      </c>
      <c r="L573" s="16" t="s">
        <v>3231</v>
      </c>
    </row>
    <row r="574" spans="1:12" x14ac:dyDescent="0.35">
      <c r="A574" s="16" t="s">
        <v>1951</v>
      </c>
      <c r="B574" s="17">
        <v>46016.196770833332</v>
      </c>
      <c r="C574" s="16" t="s">
        <v>301</v>
      </c>
      <c r="D574" s="16" t="s">
        <v>302</v>
      </c>
      <c r="E574" s="16" t="s">
        <v>1952</v>
      </c>
      <c r="F574" s="16" t="s">
        <v>219</v>
      </c>
      <c r="G574" s="16" t="s">
        <v>231</v>
      </c>
      <c r="H574" s="16" t="s">
        <v>273</v>
      </c>
      <c r="I574" s="16" t="s">
        <v>1953</v>
      </c>
      <c r="J574" s="16" t="s">
        <v>223</v>
      </c>
      <c r="K574" s="16" t="s">
        <v>3233</v>
      </c>
      <c r="L574" s="16" t="s">
        <v>3230</v>
      </c>
    </row>
    <row r="575" spans="1:12" x14ac:dyDescent="0.35">
      <c r="A575" s="16" t="s">
        <v>1954</v>
      </c>
      <c r="B575" s="17">
        <v>45768.440671296295</v>
      </c>
      <c r="C575" s="16" t="s">
        <v>260</v>
      </c>
      <c r="D575" s="16" t="s">
        <v>261</v>
      </c>
      <c r="E575" s="16" t="s">
        <v>1955</v>
      </c>
      <c r="F575" s="16" t="s">
        <v>69</v>
      </c>
      <c r="G575" s="16" t="s">
        <v>220</v>
      </c>
      <c r="H575" s="16" t="s">
        <v>277</v>
      </c>
      <c r="I575" s="16" t="s">
        <v>1956</v>
      </c>
      <c r="J575" s="16" t="s">
        <v>270</v>
      </c>
      <c r="K575" s="16" t="s">
        <v>3241</v>
      </c>
      <c r="L575" s="16" t="s">
        <v>3231</v>
      </c>
    </row>
    <row r="576" spans="1:12" x14ac:dyDescent="0.35">
      <c r="A576" s="16" t="s">
        <v>1957</v>
      </c>
      <c r="B576" s="17">
        <v>46139.069004629629</v>
      </c>
      <c r="C576" s="16" t="s">
        <v>228</v>
      </c>
      <c r="D576" s="16" t="s">
        <v>229</v>
      </c>
      <c r="E576" s="16" t="s">
        <v>1958</v>
      </c>
      <c r="F576" s="16" t="s">
        <v>237</v>
      </c>
      <c r="G576" s="16" t="s">
        <v>244</v>
      </c>
      <c r="H576" s="16" t="s">
        <v>273</v>
      </c>
      <c r="I576" s="16" t="s">
        <v>1959</v>
      </c>
      <c r="J576" s="16" t="s">
        <v>234</v>
      </c>
      <c r="K576" s="16" t="s">
        <v>3237</v>
      </c>
      <c r="L576" s="16" t="s">
        <v>3230</v>
      </c>
    </row>
    <row r="577" spans="1:12" x14ac:dyDescent="0.35">
      <c r="A577" s="16" t="s">
        <v>1960</v>
      </c>
      <c r="B577" s="17">
        <v>45922.45553240741</v>
      </c>
      <c r="C577" s="16" t="s">
        <v>301</v>
      </c>
      <c r="D577" s="16" t="s">
        <v>302</v>
      </c>
      <c r="E577" s="16" t="s">
        <v>1961</v>
      </c>
      <c r="F577" s="16" t="s">
        <v>219</v>
      </c>
      <c r="G577" s="16" t="s">
        <v>231</v>
      </c>
      <c r="H577" s="16" t="s">
        <v>238</v>
      </c>
      <c r="I577" s="16" t="s">
        <v>628</v>
      </c>
      <c r="J577" s="16" t="s">
        <v>249</v>
      </c>
      <c r="K577" s="16" t="s">
        <v>3256</v>
      </c>
      <c r="L577" s="16" t="s">
        <v>3231</v>
      </c>
    </row>
    <row r="578" spans="1:12" x14ac:dyDescent="0.35">
      <c r="A578" s="16" t="s">
        <v>1962</v>
      </c>
      <c r="B578" s="17">
        <v>45351.266435185185</v>
      </c>
      <c r="C578" s="16" t="s">
        <v>301</v>
      </c>
      <c r="D578" s="16" t="s">
        <v>302</v>
      </c>
      <c r="E578" s="16" t="s">
        <v>1963</v>
      </c>
      <c r="F578" s="16" t="s">
        <v>237</v>
      </c>
      <c r="G578" s="16" t="s">
        <v>231</v>
      </c>
      <c r="H578" s="16" t="s">
        <v>232</v>
      </c>
      <c r="I578" s="16" t="s">
        <v>1964</v>
      </c>
      <c r="J578" s="16" t="s">
        <v>270</v>
      </c>
      <c r="K578" s="16" t="s">
        <v>3242</v>
      </c>
      <c r="L578" s="16" t="s">
        <v>3232</v>
      </c>
    </row>
    <row r="579" spans="1:12" x14ac:dyDescent="0.35">
      <c r="A579" s="16" t="s">
        <v>1965</v>
      </c>
      <c r="B579" s="17">
        <v>46235.81459490741</v>
      </c>
      <c r="C579" s="16" t="s">
        <v>228</v>
      </c>
      <c r="D579" s="16" t="s">
        <v>229</v>
      </c>
      <c r="E579" s="16" t="s">
        <v>1966</v>
      </c>
      <c r="F579" s="16" t="s">
        <v>237</v>
      </c>
      <c r="G579" s="16" t="s">
        <v>231</v>
      </c>
      <c r="H579" s="16" t="s">
        <v>232</v>
      </c>
      <c r="I579" s="16" t="s">
        <v>1967</v>
      </c>
      <c r="J579" s="16" t="s">
        <v>249</v>
      </c>
      <c r="K579" s="16" t="s">
        <v>3245</v>
      </c>
      <c r="L579" s="16" t="s">
        <v>3232</v>
      </c>
    </row>
    <row r="580" spans="1:12" x14ac:dyDescent="0.35">
      <c r="A580" s="16" t="s">
        <v>1968</v>
      </c>
      <c r="B580" s="17">
        <v>45330.315937500003</v>
      </c>
      <c r="C580" s="16" t="s">
        <v>241</v>
      </c>
      <c r="D580" s="16" t="s">
        <v>242</v>
      </c>
      <c r="E580" s="16" t="s">
        <v>1969</v>
      </c>
      <c r="F580" s="16" t="s">
        <v>219</v>
      </c>
      <c r="G580" s="16" t="s">
        <v>231</v>
      </c>
      <c r="H580" s="16" t="s">
        <v>238</v>
      </c>
      <c r="I580" s="16" t="s">
        <v>1970</v>
      </c>
      <c r="J580" s="16" t="s">
        <v>234</v>
      </c>
      <c r="K580" s="16" t="s">
        <v>3251</v>
      </c>
      <c r="L580" s="16" t="s">
        <v>3231</v>
      </c>
    </row>
    <row r="581" spans="1:12" x14ac:dyDescent="0.35">
      <c r="A581" s="16" t="s">
        <v>1971</v>
      </c>
      <c r="B581" s="17">
        <v>46060.950439814813</v>
      </c>
      <c r="C581" s="16" t="s">
        <v>301</v>
      </c>
      <c r="D581" s="16" t="s">
        <v>302</v>
      </c>
      <c r="E581" s="16" t="s">
        <v>1972</v>
      </c>
      <c r="F581" s="16" t="s">
        <v>69</v>
      </c>
      <c r="G581" s="16" t="s">
        <v>244</v>
      </c>
      <c r="H581" s="16" t="s">
        <v>221</v>
      </c>
      <c r="I581" s="16" t="s">
        <v>1973</v>
      </c>
      <c r="J581" s="16" t="s">
        <v>270</v>
      </c>
      <c r="K581" s="16" t="s">
        <v>3258</v>
      </c>
      <c r="L581" s="16" t="s">
        <v>3235</v>
      </c>
    </row>
    <row r="582" spans="1:12" x14ac:dyDescent="0.35">
      <c r="A582" s="16" t="s">
        <v>1974</v>
      </c>
      <c r="B582" s="17">
        <v>45848.627847222226</v>
      </c>
      <c r="C582" s="16" t="s">
        <v>301</v>
      </c>
      <c r="D582" s="16" t="s">
        <v>302</v>
      </c>
      <c r="E582" s="16" t="s">
        <v>1975</v>
      </c>
      <c r="F582" s="16" t="s">
        <v>237</v>
      </c>
      <c r="G582" s="16" t="s">
        <v>220</v>
      </c>
      <c r="H582" s="16" t="s">
        <v>238</v>
      </c>
      <c r="I582" s="16" t="s">
        <v>1976</v>
      </c>
      <c r="J582" s="16" t="s">
        <v>249</v>
      </c>
      <c r="K582" s="16" t="s">
        <v>3254</v>
      </c>
      <c r="L582" s="16" t="s">
        <v>3232</v>
      </c>
    </row>
    <row r="583" spans="1:12" x14ac:dyDescent="0.35">
      <c r="A583" s="16" t="s">
        <v>1977</v>
      </c>
      <c r="B583" s="17">
        <v>45650.170254629629</v>
      </c>
      <c r="C583" s="16" t="s">
        <v>228</v>
      </c>
      <c r="D583" s="16" t="s">
        <v>229</v>
      </c>
      <c r="E583" s="16" t="s">
        <v>1978</v>
      </c>
      <c r="F583" s="16" t="s">
        <v>69</v>
      </c>
      <c r="G583" s="16" t="s">
        <v>220</v>
      </c>
      <c r="H583" s="16" t="s">
        <v>273</v>
      </c>
      <c r="I583" s="16" t="s">
        <v>1979</v>
      </c>
      <c r="J583" s="16" t="s">
        <v>270</v>
      </c>
      <c r="K583" s="16" t="s">
        <v>3253</v>
      </c>
      <c r="L583" s="16" t="s">
        <v>3234</v>
      </c>
    </row>
    <row r="584" spans="1:12" x14ac:dyDescent="0.35">
      <c r="A584" s="16" t="s">
        <v>1980</v>
      </c>
      <c r="B584" s="17">
        <v>45681.515960648147</v>
      </c>
      <c r="C584" s="16" t="s">
        <v>260</v>
      </c>
      <c r="D584" s="16" t="s">
        <v>261</v>
      </c>
      <c r="E584" s="16" t="s">
        <v>1981</v>
      </c>
      <c r="F584" s="16" t="s">
        <v>219</v>
      </c>
      <c r="G584" s="16" t="s">
        <v>244</v>
      </c>
      <c r="H584" s="16" t="s">
        <v>273</v>
      </c>
      <c r="I584" s="16" t="s">
        <v>1982</v>
      </c>
      <c r="J584" s="16" t="s">
        <v>234</v>
      </c>
      <c r="K584" s="16" t="s">
        <v>3248</v>
      </c>
      <c r="L584" s="16" t="s">
        <v>3231</v>
      </c>
    </row>
    <row r="585" spans="1:12" x14ac:dyDescent="0.35">
      <c r="A585" s="16" t="s">
        <v>1983</v>
      </c>
      <c r="B585" s="17">
        <v>45712.055451388886</v>
      </c>
      <c r="C585" s="16" t="s">
        <v>216</v>
      </c>
      <c r="D585" s="16" t="s">
        <v>217</v>
      </c>
      <c r="E585" s="16" t="s">
        <v>1984</v>
      </c>
      <c r="F585" s="16" t="s">
        <v>237</v>
      </c>
      <c r="G585" s="16" t="s">
        <v>244</v>
      </c>
      <c r="H585" s="16" t="s">
        <v>273</v>
      </c>
      <c r="I585" s="16" t="s">
        <v>1985</v>
      </c>
      <c r="J585" s="16" t="s">
        <v>270</v>
      </c>
      <c r="K585" s="16" t="s">
        <v>3243</v>
      </c>
      <c r="L585" s="16" t="s">
        <v>3234</v>
      </c>
    </row>
    <row r="586" spans="1:12" x14ac:dyDescent="0.35">
      <c r="A586" s="16" t="s">
        <v>1986</v>
      </c>
      <c r="B586" s="17">
        <v>45470.505601851852</v>
      </c>
      <c r="C586" s="16" t="s">
        <v>301</v>
      </c>
      <c r="D586" s="16" t="s">
        <v>302</v>
      </c>
      <c r="E586" s="16" t="s">
        <v>1987</v>
      </c>
      <c r="F586" s="16" t="s">
        <v>69</v>
      </c>
      <c r="G586" s="16" t="s">
        <v>220</v>
      </c>
      <c r="H586" s="16" t="s">
        <v>221</v>
      </c>
      <c r="I586" s="16" t="s">
        <v>1988</v>
      </c>
      <c r="J586" s="16" t="s">
        <v>249</v>
      </c>
      <c r="K586" s="16" t="s">
        <v>3242</v>
      </c>
      <c r="L586" s="16" t="s">
        <v>3232</v>
      </c>
    </row>
    <row r="587" spans="1:12" x14ac:dyDescent="0.35">
      <c r="A587" s="16" t="s">
        <v>1989</v>
      </c>
      <c r="B587" s="17">
        <v>45721.48678240741</v>
      </c>
      <c r="C587" s="16" t="s">
        <v>216</v>
      </c>
      <c r="D587" s="16" t="s">
        <v>217</v>
      </c>
      <c r="E587" s="16" t="s">
        <v>1990</v>
      </c>
      <c r="F587" s="16" t="s">
        <v>69</v>
      </c>
      <c r="G587" s="16" t="s">
        <v>231</v>
      </c>
      <c r="H587" s="16" t="s">
        <v>273</v>
      </c>
      <c r="I587" s="16" t="s">
        <v>1991</v>
      </c>
      <c r="J587" s="16" t="s">
        <v>249</v>
      </c>
      <c r="K587" s="16" t="s">
        <v>3247</v>
      </c>
      <c r="L587" s="16" t="s">
        <v>3234</v>
      </c>
    </row>
    <row r="588" spans="1:12" x14ac:dyDescent="0.35">
      <c r="A588" s="16" t="s">
        <v>1992</v>
      </c>
      <c r="B588" s="17">
        <v>45597.238923611112</v>
      </c>
      <c r="C588" s="16" t="s">
        <v>260</v>
      </c>
      <c r="D588" s="16" t="s">
        <v>261</v>
      </c>
      <c r="E588" s="16" t="s">
        <v>1993</v>
      </c>
      <c r="F588" s="16" t="s">
        <v>69</v>
      </c>
      <c r="G588" s="16" t="s">
        <v>220</v>
      </c>
      <c r="H588" s="16" t="s">
        <v>221</v>
      </c>
      <c r="I588" s="16" t="s">
        <v>1994</v>
      </c>
      <c r="J588" s="16" t="s">
        <v>234</v>
      </c>
      <c r="K588" s="16" t="s">
        <v>3248</v>
      </c>
      <c r="L588" s="16" t="s">
        <v>3231</v>
      </c>
    </row>
    <row r="589" spans="1:12" x14ac:dyDescent="0.35">
      <c r="A589" s="16" t="s">
        <v>1995</v>
      </c>
      <c r="B589" s="17">
        <v>45944.411192129628</v>
      </c>
      <c r="C589" s="16" t="s">
        <v>241</v>
      </c>
      <c r="D589" s="16" t="s">
        <v>242</v>
      </c>
      <c r="E589" s="16" t="s">
        <v>1996</v>
      </c>
      <c r="F589" s="16" t="s">
        <v>219</v>
      </c>
      <c r="G589" s="16" t="s">
        <v>231</v>
      </c>
      <c r="H589" s="16" t="s">
        <v>238</v>
      </c>
      <c r="I589" s="16" t="s">
        <v>1997</v>
      </c>
      <c r="J589" s="16" t="s">
        <v>270</v>
      </c>
      <c r="K589" s="16" t="s">
        <v>3243</v>
      </c>
      <c r="L589" s="16" t="s">
        <v>3234</v>
      </c>
    </row>
    <row r="590" spans="1:12" x14ac:dyDescent="0.35">
      <c r="A590" s="16" t="s">
        <v>1998</v>
      </c>
      <c r="B590" s="17">
        <v>46200.076944444445</v>
      </c>
      <c r="C590" s="16" t="s">
        <v>301</v>
      </c>
      <c r="D590" s="16" t="s">
        <v>302</v>
      </c>
      <c r="E590" s="16" t="s">
        <v>1999</v>
      </c>
      <c r="F590" s="16" t="s">
        <v>69</v>
      </c>
      <c r="G590" s="16" t="s">
        <v>231</v>
      </c>
      <c r="H590" s="16" t="s">
        <v>273</v>
      </c>
      <c r="I590" s="16" t="s">
        <v>2000</v>
      </c>
      <c r="J590" s="16" t="s">
        <v>223</v>
      </c>
      <c r="K590" s="16" t="s">
        <v>3251</v>
      </c>
      <c r="L590" s="16" t="s">
        <v>3231</v>
      </c>
    </row>
    <row r="591" spans="1:12" x14ac:dyDescent="0.35">
      <c r="A591" s="16" t="s">
        <v>2001</v>
      </c>
      <c r="B591" s="17">
        <v>46094.271516203706</v>
      </c>
      <c r="C591" s="16" t="s">
        <v>216</v>
      </c>
      <c r="D591" s="16" t="s">
        <v>217</v>
      </c>
      <c r="E591" s="16" t="s">
        <v>2002</v>
      </c>
      <c r="F591" s="16" t="s">
        <v>219</v>
      </c>
      <c r="G591" s="16" t="s">
        <v>244</v>
      </c>
      <c r="H591" s="16" t="s">
        <v>221</v>
      </c>
      <c r="I591" s="16" t="s">
        <v>2003</v>
      </c>
      <c r="J591" s="16" t="s">
        <v>249</v>
      </c>
      <c r="K591" s="16" t="s">
        <v>3236</v>
      </c>
      <c r="L591" s="16" t="s">
        <v>3230</v>
      </c>
    </row>
    <row r="592" spans="1:12" x14ac:dyDescent="0.35">
      <c r="A592" s="16" t="s">
        <v>2004</v>
      </c>
      <c r="B592" s="17">
        <v>46384.119155092594</v>
      </c>
      <c r="C592" s="16" t="s">
        <v>301</v>
      </c>
      <c r="D592" s="16" t="s">
        <v>302</v>
      </c>
      <c r="E592" s="16" t="s">
        <v>2005</v>
      </c>
      <c r="F592" s="16" t="s">
        <v>219</v>
      </c>
      <c r="G592" s="16" t="s">
        <v>220</v>
      </c>
      <c r="H592" s="16" t="s">
        <v>238</v>
      </c>
      <c r="I592" s="16" t="s">
        <v>2006</v>
      </c>
      <c r="J592" s="16" t="s">
        <v>223</v>
      </c>
      <c r="K592" s="16" t="s">
        <v>3250</v>
      </c>
      <c r="L592" s="16" t="s">
        <v>3231</v>
      </c>
    </row>
    <row r="593" spans="1:12" x14ac:dyDescent="0.35">
      <c r="A593" s="16" t="s">
        <v>2007</v>
      </c>
      <c r="B593" s="17">
        <v>46245.713831018518</v>
      </c>
      <c r="C593" s="16" t="s">
        <v>216</v>
      </c>
      <c r="D593" s="16" t="s">
        <v>217</v>
      </c>
      <c r="E593" s="16" t="s">
        <v>2008</v>
      </c>
      <c r="F593" s="16" t="s">
        <v>69</v>
      </c>
      <c r="G593" s="16" t="s">
        <v>220</v>
      </c>
      <c r="H593" s="16" t="s">
        <v>232</v>
      </c>
      <c r="I593" s="16" t="s">
        <v>2009</v>
      </c>
      <c r="J593" s="16" t="s">
        <v>223</v>
      </c>
      <c r="K593" s="16" t="s">
        <v>3239</v>
      </c>
      <c r="L593" s="16" t="s">
        <v>3235</v>
      </c>
    </row>
    <row r="594" spans="1:12" x14ac:dyDescent="0.35">
      <c r="A594" s="16" t="s">
        <v>2010</v>
      </c>
      <c r="B594" s="17">
        <v>46220.739560185182</v>
      </c>
      <c r="C594" s="16" t="s">
        <v>228</v>
      </c>
      <c r="D594" s="16" t="s">
        <v>229</v>
      </c>
      <c r="E594" s="16" t="s">
        <v>2011</v>
      </c>
      <c r="F594" s="16" t="s">
        <v>69</v>
      </c>
      <c r="G594" s="16" t="s">
        <v>231</v>
      </c>
      <c r="H594" s="16" t="s">
        <v>238</v>
      </c>
      <c r="I594" s="16" t="s">
        <v>2012</v>
      </c>
      <c r="J594" s="16" t="s">
        <v>223</v>
      </c>
      <c r="K594" s="16" t="s">
        <v>3248</v>
      </c>
      <c r="L594" s="16" t="s">
        <v>3231</v>
      </c>
    </row>
    <row r="595" spans="1:12" x14ac:dyDescent="0.35">
      <c r="A595" s="16" t="s">
        <v>2013</v>
      </c>
      <c r="B595" s="17">
        <v>46005.916956018518</v>
      </c>
      <c r="C595" s="16" t="s">
        <v>260</v>
      </c>
      <c r="D595" s="16" t="s">
        <v>261</v>
      </c>
      <c r="E595" s="16" t="s">
        <v>2014</v>
      </c>
      <c r="F595" s="16" t="s">
        <v>69</v>
      </c>
      <c r="G595" s="16" t="s">
        <v>244</v>
      </c>
      <c r="H595" s="16" t="s">
        <v>277</v>
      </c>
      <c r="I595" s="16" t="s">
        <v>2015</v>
      </c>
      <c r="J595" s="16" t="s">
        <v>270</v>
      </c>
      <c r="K595" s="16" t="s">
        <v>3249</v>
      </c>
      <c r="L595" s="16" t="s">
        <v>3232</v>
      </c>
    </row>
    <row r="596" spans="1:12" x14ac:dyDescent="0.35">
      <c r="A596" s="16" t="s">
        <v>2016</v>
      </c>
      <c r="B596" s="17">
        <v>45910.808194444442</v>
      </c>
      <c r="C596" s="16" t="s">
        <v>301</v>
      </c>
      <c r="D596" s="16" t="s">
        <v>302</v>
      </c>
      <c r="E596" s="16" t="s">
        <v>2017</v>
      </c>
      <c r="F596" s="16" t="s">
        <v>237</v>
      </c>
      <c r="G596" s="16" t="s">
        <v>244</v>
      </c>
      <c r="H596" s="16" t="s">
        <v>273</v>
      </c>
      <c r="I596" s="16" t="s">
        <v>2018</v>
      </c>
      <c r="J596" s="16" t="s">
        <v>234</v>
      </c>
      <c r="K596" s="16" t="s">
        <v>3233</v>
      </c>
      <c r="L596" s="16" t="s">
        <v>3230</v>
      </c>
    </row>
    <row r="597" spans="1:12" x14ac:dyDescent="0.35">
      <c r="A597" s="16" t="s">
        <v>2019</v>
      </c>
      <c r="B597" s="17">
        <v>46078.100208333337</v>
      </c>
      <c r="C597" s="16" t="s">
        <v>241</v>
      </c>
      <c r="D597" s="16" t="s">
        <v>242</v>
      </c>
      <c r="E597" s="16" t="s">
        <v>2020</v>
      </c>
      <c r="F597" s="16" t="s">
        <v>69</v>
      </c>
      <c r="G597" s="16" t="s">
        <v>244</v>
      </c>
      <c r="H597" s="16" t="s">
        <v>277</v>
      </c>
      <c r="I597" s="16" t="s">
        <v>2021</v>
      </c>
      <c r="J597" s="16" t="s">
        <v>249</v>
      </c>
      <c r="K597" s="16" t="s">
        <v>3258</v>
      </c>
      <c r="L597" s="16" t="s">
        <v>3235</v>
      </c>
    </row>
    <row r="598" spans="1:12" x14ac:dyDescent="0.35">
      <c r="A598" s="16" t="s">
        <v>2022</v>
      </c>
      <c r="B598" s="17">
        <v>45451.871064814812</v>
      </c>
      <c r="C598" s="16" t="s">
        <v>241</v>
      </c>
      <c r="D598" s="16" t="s">
        <v>242</v>
      </c>
      <c r="E598" s="16" t="s">
        <v>2023</v>
      </c>
      <c r="F598" s="16" t="s">
        <v>69</v>
      </c>
      <c r="G598" s="16" t="s">
        <v>244</v>
      </c>
      <c r="H598" s="16" t="s">
        <v>277</v>
      </c>
      <c r="I598" s="16" t="s">
        <v>2024</v>
      </c>
      <c r="J598" s="16" t="s">
        <v>270</v>
      </c>
      <c r="K598" s="16" t="s">
        <v>3255</v>
      </c>
      <c r="L598" s="16" t="s">
        <v>3235</v>
      </c>
    </row>
    <row r="599" spans="1:12" x14ac:dyDescent="0.35">
      <c r="A599" s="16" t="s">
        <v>2025</v>
      </c>
      <c r="B599" s="17">
        <v>46123.105590277781</v>
      </c>
      <c r="C599" s="16" t="s">
        <v>260</v>
      </c>
      <c r="D599" s="16" t="s">
        <v>261</v>
      </c>
      <c r="E599" s="16" t="s">
        <v>2026</v>
      </c>
      <c r="F599" s="16" t="s">
        <v>69</v>
      </c>
      <c r="G599" s="16" t="s">
        <v>244</v>
      </c>
      <c r="H599" s="16" t="s">
        <v>277</v>
      </c>
      <c r="I599" s="16" t="s">
        <v>2027</v>
      </c>
      <c r="J599" s="16" t="s">
        <v>223</v>
      </c>
      <c r="K599" s="16" t="s">
        <v>3236</v>
      </c>
      <c r="L599" s="16" t="s">
        <v>3230</v>
      </c>
    </row>
    <row r="600" spans="1:12" x14ac:dyDescent="0.35">
      <c r="A600" s="16" t="s">
        <v>2028</v>
      </c>
      <c r="B600" s="17">
        <v>45576.881041666667</v>
      </c>
      <c r="C600" s="16" t="s">
        <v>216</v>
      </c>
      <c r="D600" s="16" t="s">
        <v>217</v>
      </c>
      <c r="E600" s="16" t="s">
        <v>2029</v>
      </c>
      <c r="F600" s="16" t="s">
        <v>69</v>
      </c>
      <c r="G600" s="16" t="s">
        <v>220</v>
      </c>
      <c r="H600" s="16" t="s">
        <v>221</v>
      </c>
      <c r="I600" s="16" t="s">
        <v>2030</v>
      </c>
      <c r="J600" s="16" t="s">
        <v>249</v>
      </c>
      <c r="K600" s="16" t="s">
        <v>3256</v>
      </c>
      <c r="L600" s="16" t="s">
        <v>3231</v>
      </c>
    </row>
    <row r="601" spans="1:12" x14ac:dyDescent="0.35">
      <c r="A601" s="16" t="s">
        <v>2031</v>
      </c>
      <c r="B601" s="17">
        <v>46207.2968287037</v>
      </c>
      <c r="C601" s="16" t="s">
        <v>260</v>
      </c>
      <c r="D601" s="16" t="s">
        <v>261</v>
      </c>
      <c r="E601" s="16" t="s">
        <v>2032</v>
      </c>
      <c r="F601" s="16" t="s">
        <v>219</v>
      </c>
      <c r="G601" s="16" t="s">
        <v>231</v>
      </c>
      <c r="H601" s="16" t="s">
        <v>273</v>
      </c>
      <c r="I601" s="16" t="s">
        <v>2033</v>
      </c>
      <c r="J601" s="16" t="s">
        <v>249</v>
      </c>
      <c r="K601" s="16" t="s">
        <v>3238</v>
      </c>
      <c r="L601" s="16" t="s">
        <v>3230</v>
      </c>
    </row>
    <row r="602" spans="1:12" x14ac:dyDescent="0.35">
      <c r="A602" s="16" t="s">
        <v>2034</v>
      </c>
      <c r="B602" s="17">
        <v>45308.92765046296</v>
      </c>
      <c r="C602" s="16" t="s">
        <v>260</v>
      </c>
      <c r="D602" s="16" t="s">
        <v>261</v>
      </c>
      <c r="E602" s="16" t="s">
        <v>2035</v>
      </c>
      <c r="F602" s="16" t="s">
        <v>237</v>
      </c>
      <c r="G602" s="16" t="s">
        <v>220</v>
      </c>
      <c r="H602" s="16" t="s">
        <v>238</v>
      </c>
      <c r="I602" s="16" t="s">
        <v>2036</v>
      </c>
      <c r="J602" s="16" t="s">
        <v>249</v>
      </c>
      <c r="K602" s="16" t="s">
        <v>3229</v>
      </c>
      <c r="L602" s="16" t="s">
        <v>3230</v>
      </c>
    </row>
    <row r="603" spans="1:12" x14ac:dyDescent="0.35">
      <c r="A603" s="16" t="s">
        <v>2037</v>
      </c>
      <c r="B603" s="17">
        <v>46027.166412037041</v>
      </c>
      <c r="C603" s="16" t="s">
        <v>241</v>
      </c>
      <c r="D603" s="16" t="s">
        <v>242</v>
      </c>
      <c r="E603" s="16" t="s">
        <v>2038</v>
      </c>
      <c r="F603" s="16" t="s">
        <v>69</v>
      </c>
      <c r="G603" s="16" t="s">
        <v>220</v>
      </c>
      <c r="H603" s="16" t="s">
        <v>221</v>
      </c>
      <c r="I603" s="16" t="s">
        <v>2039</v>
      </c>
      <c r="J603" s="16" t="s">
        <v>223</v>
      </c>
      <c r="K603" s="16" t="s">
        <v>3256</v>
      </c>
      <c r="L603" s="16" t="s">
        <v>3231</v>
      </c>
    </row>
    <row r="604" spans="1:12" x14ac:dyDescent="0.35">
      <c r="A604" s="16" t="s">
        <v>2040</v>
      </c>
      <c r="B604" s="17">
        <v>46073.660196759258</v>
      </c>
      <c r="C604" s="16" t="s">
        <v>301</v>
      </c>
      <c r="D604" s="16" t="s">
        <v>302</v>
      </c>
      <c r="E604" s="16" t="s">
        <v>2041</v>
      </c>
      <c r="F604" s="16" t="s">
        <v>69</v>
      </c>
      <c r="G604" s="16" t="s">
        <v>244</v>
      </c>
      <c r="H604" s="16" t="s">
        <v>232</v>
      </c>
      <c r="I604" s="16" t="s">
        <v>2042</v>
      </c>
      <c r="J604" s="16" t="s">
        <v>234</v>
      </c>
      <c r="K604" s="16" t="s">
        <v>3229</v>
      </c>
      <c r="L604" s="16" t="s">
        <v>3230</v>
      </c>
    </row>
    <row r="605" spans="1:12" x14ac:dyDescent="0.35">
      <c r="A605" s="16" t="s">
        <v>2043</v>
      </c>
      <c r="B605" s="17">
        <v>46029.632951388892</v>
      </c>
      <c r="C605" s="16" t="s">
        <v>228</v>
      </c>
      <c r="D605" s="16" t="s">
        <v>229</v>
      </c>
      <c r="E605" s="16" t="s">
        <v>2044</v>
      </c>
      <c r="F605" s="16" t="s">
        <v>237</v>
      </c>
      <c r="G605" s="16" t="s">
        <v>244</v>
      </c>
      <c r="H605" s="16" t="s">
        <v>273</v>
      </c>
      <c r="I605" s="16" t="s">
        <v>2045</v>
      </c>
      <c r="J605" s="16" t="s">
        <v>270</v>
      </c>
      <c r="K605" s="16" t="s">
        <v>3245</v>
      </c>
      <c r="L605" s="16" t="s">
        <v>3232</v>
      </c>
    </row>
    <row r="606" spans="1:12" x14ac:dyDescent="0.35">
      <c r="A606" s="16" t="s">
        <v>2046</v>
      </c>
      <c r="B606" s="17">
        <v>46288.998090277775</v>
      </c>
      <c r="C606" s="16" t="s">
        <v>216</v>
      </c>
      <c r="D606" s="16" t="s">
        <v>217</v>
      </c>
      <c r="E606" s="16" t="s">
        <v>2047</v>
      </c>
      <c r="F606" s="16" t="s">
        <v>69</v>
      </c>
      <c r="G606" s="16" t="s">
        <v>220</v>
      </c>
      <c r="H606" s="16" t="s">
        <v>221</v>
      </c>
      <c r="I606" s="16" t="s">
        <v>2048</v>
      </c>
      <c r="J606" s="16" t="s">
        <v>223</v>
      </c>
      <c r="K606" s="16" t="s">
        <v>3249</v>
      </c>
      <c r="L606" s="16" t="s">
        <v>3232</v>
      </c>
    </row>
    <row r="607" spans="1:12" x14ac:dyDescent="0.35">
      <c r="A607" s="16" t="s">
        <v>2049</v>
      </c>
      <c r="B607" s="17">
        <v>45660.689328703702</v>
      </c>
      <c r="C607" s="16" t="s">
        <v>260</v>
      </c>
      <c r="D607" s="16" t="s">
        <v>261</v>
      </c>
      <c r="E607" s="16" t="s">
        <v>2050</v>
      </c>
      <c r="F607" s="16" t="s">
        <v>237</v>
      </c>
      <c r="G607" s="16" t="s">
        <v>244</v>
      </c>
      <c r="H607" s="16" t="s">
        <v>273</v>
      </c>
      <c r="I607" s="16" t="s">
        <v>2051</v>
      </c>
      <c r="J607" s="16" t="s">
        <v>249</v>
      </c>
      <c r="K607" s="16" t="s">
        <v>3253</v>
      </c>
      <c r="L607" s="16" t="s">
        <v>3234</v>
      </c>
    </row>
    <row r="608" spans="1:12" x14ac:dyDescent="0.35">
      <c r="A608" s="16" t="s">
        <v>2052</v>
      </c>
      <c r="B608" s="17">
        <v>45307.876747685186</v>
      </c>
      <c r="C608" s="16" t="s">
        <v>228</v>
      </c>
      <c r="D608" s="16" t="s">
        <v>229</v>
      </c>
      <c r="E608" s="16" t="s">
        <v>2053</v>
      </c>
      <c r="F608" s="16" t="s">
        <v>219</v>
      </c>
      <c r="G608" s="16" t="s">
        <v>220</v>
      </c>
      <c r="H608" s="16" t="s">
        <v>277</v>
      </c>
      <c r="I608" s="16" t="s">
        <v>2054</v>
      </c>
      <c r="J608" s="16" t="s">
        <v>223</v>
      </c>
      <c r="K608" s="16" t="s">
        <v>3239</v>
      </c>
      <c r="L608" s="16" t="s">
        <v>3235</v>
      </c>
    </row>
    <row r="609" spans="1:12" x14ac:dyDescent="0.35">
      <c r="A609" s="16" t="s">
        <v>2055</v>
      </c>
      <c r="B609" s="17">
        <v>45360.057442129626</v>
      </c>
      <c r="C609" s="16" t="s">
        <v>241</v>
      </c>
      <c r="D609" s="16" t="s">
        <v>242</v>
      </c>
      <c r="E609" s="16" t="s">
        <v>2056</v>
      </c>
      <c r="F609" s="16" t="s">
        <v>237</v>
      </c>
      <c r="G609" s="16" t="s">
        <v>244</v>
      </c>
      <c r="H609" s="16" t="s">
        <v>273</v>
      </c>
      <c r="I609" s="16" t="s">
        <v>2057</v>
      </c>
      <c r="J609" s="16" t="s">
        <v>223</v>
      </c>
      <c r="K609" s="16" t="s">
        <v>3255</v>
      </c>
      <c r="L609" s="16" t="s">
        <v>3235</v>
      </c>
    </row>
    <row r="610" spans="1:12" x14ac:dyDescent="0.35">
      <c r="A610" s="16" t="s">
        <v>2058</v>
      </c>
      <c r="B610" s="17">
        <v>45864.705324074072</v>
      </c>
      <c r="C610" s="16" t="s">
        <v>216</v>
      </c>
      <c r="D610" s="16" t="s">
        <v>217</v>
      </c>
      <c r="E610" s="16" t="s">
        <v>2059</v>
      </c>
      <c r="F610" s="16" t="s">
        <v>69</v>
      </c>
      <c r="G610" s="16" t="s">
        <v>244</v>
      </c>
      <c r="H610" s="16" t="s">
        <v>277</v>
      </c>
      <c r="I610" s="16" t="s">
        <v>2060</v>
      </c>
      <c r="J610" s="16" t="s">
        <v>223</v>
      </c>
      <c r="K610" s="16" t="s">
        <v>3243</v>
      </c>
      <c r="L610" s="16" t="s">
        <v>3234</v>
      </c>
    </row>
    <row r="611" spans="1:12" x14ac:dyDescent="0.35">
      <c r="A611" s="16" t="s">
        <v>2061</v>
      </c>
      <c r="B611" s="17">
        <v>45931.93</v>
      </c>
      <c r="C611" s="16" t="s">
        <v>216</v>
      </c>
      <c r="D611" s="16" t="s">
        <v>217</v>
      </c>
      <c r="E611" s="16" t="s">
        <v>2062</v>
      </c>
      <c r="F611" s="16" t="s">
        <v>237</v>
      </c>
      <c r="G611" s="16" t="s">
        <v>244</v>
      </c>
      <c r="H611" s="16" t="s">
        <v>273</v>
      </c>
      <c r="I611" s="16" t="s">
        <v>2063</v>
      </c>
      <c r="J611" s="16" t="s">
        <v>223</v>
      </c>
      <c r="K611" s="16" t="s">
        <v>3247</v>
      </c>
      <c r="L611" s="16" t="s">
        <v>3234</v>
      </c>
    </row>
    <row r="612" spans="1:12" x14ac:dyDescent="0.35">
      <c r="A612" s="16" t="s">
        <v>2064</v>
      </c>
      <c r="B612" s="17">
        <v>45970.638692129629</v>
      </c>
      <c r="C612" s="16" t="s">
        <v>241</v>
      </c>
      <c r="D612" s="16" t="s">
        <v>242</v>
      </c>
      <c r="E612" s="16" t="s">
        <v>2065</v>
      </c>
      <c r="F612" s="16" t="s">
        <v>237</v>
      </c>
      <c r="G612" s="16" t="s">
        <v>231</v>
      </c>
      <c r="H612" s="16" t="s">
        <v>232</v>
      </c>
      <c r="I612" s="16" t="s">
        <v>2066</v>
      </c>
      <c r="J612" s="16" t="s">
        <v>249</v>
      </c>
      <c r="K612" s="16" t="s">
        <v>3253</v>
      </c>
      <c r="L612" s="16" t="s">
        <v>3234</v>
      </c>
    </row>
    <row r="613" spans="1:12" x14ac:dyDescent="0.35">
      <c r="A613" s="16" t="s">
        <v>2067</v>
      </c>
      <c r="B613" s="17">
        <v>46261.877060185187</v>
      </c>
      <c r="C613" s="16" t="s">
        <v>241</v>
      </c>
      <c r="D613" s="16" t="s">
        <v>242</v>
      </c>
      <c r="E613" s="16" t="s">
        <v>2068</v>
      </c>
      <c r="F613" s="16" t="s">
        <v>219</v>
      </c>
      <c r="G613" s="16" t="s">
        <v>220</v>
      </c>
      <c r="H613" s="16" t="s">
        <v>238</v>
      </c>
      <c r="I613" s="16" t="s">
        <v>2069</v>
      </c>
      <c r="J613" s="16" t="s">
        <v>270</v>
      </c>
      <c r="K613" s="16" t="s">
        <v>3237</v>
      </c>
      <c r="L613" s="16" t="s">
        <v>3230</v>
      </c>
    </row>
    <row r="614" spans="1:12" x14ac:dyDescent="0.35">
      <c r="A614" s="16" t="s">
        <v>2070</v>
      </c>
      <c r="B614" s="17">
        <v>45551.767002314817</v>
      </c>
      <c r="C614" s="16" t="s">
        <v>301</v>
      </c>
      <c r="D614" s="16" t="s">
        <v>302</v>
      </c>
      <c r="E614" s="16" t="s">
        <v>2071</v>
      </c>
      <c r="F614" s="16" t="s">
        <v>237</v>
      </c>
      <c r="G614" s="16" t="s">
        <v>231</v>
      </c>
      <c r="H614" s="16" t="s">
        <v>232</v>
      </c>
      <c r="I614" s="16" t="s">
        <v>2072</v>
      </c>
      <c r="J614" s="16" t="s">
        <v>249</v>
      </c>
      <c r="K614" s="16" t="s">
        <v>3249</v>
      </c>
      <c r="L614" s="16" t="s">
        <v>3232</v>
      </c>
    </row>
    <row r="615" spans="1:12" x14ac:dyDescent="0.35">
      <c r="A615" s="16" t="s">
        <v>2073</v>
      </c>
      <c r="B615" s="17">
        <v>45520.916018518517</v>
      </c>
      <c r="C615" s="16" t="s">
        <v>301</v>
      </c>
      <c r="D615" s="16" t="s">
        <v>302</v>
      </c>
      <c r="E615" s="16" t="s">
        <v>2074</v>
      </c>
      <c r="F615" s="16" t="s">
        <v>219</v>
      </c>
      <c r="G615" s="16" t="s">
        <v>244</v>
      </c>
      <c r="H615" s="16" t="s">
        <v>238</v>
      </c>
      <c r="I615" s="16" t="s">
        <v>1299</v>
      </c>
      <c r="J615" s="16" t="s">
        <v>223</v>
      </c>
      <c r="K615" s="16" t="s">
        <v>3246</v>
      </c>
      <c r="L615" s="16" t="s">
        <v>3234</v>
      </c>
    </row>
    <row r="616" spans="1:12" x14ac:dyDescent="0.35">
      <c r="A616" s="16" t="s">
        <v>2075</v>
      </c>
      <c r="B616" s="17">
        <v>45775.735636574071</v>
      </c>
      <c r="C616" s="16" t="s">
        <v>301</v>
      </c>
      <c r="D616" s="16" t="s">
        <v>302</v>
      </c>
      <c r="E616" s="16" t="s">
        <v>2076</v>
      </c>
      <c r="F616" s="16" t="s">
        <v>219</v>
      </c>
      <c r="G616" s="16" t="s">
        <v>220</v>
      </c>
      <c r="H616" s="16" t="s">
        <v>277</v>
      </c>
      <c r="I616" s="16" t="s">
        <v>2077</v>
      </c>
      <c r="J616" s="16" t="s">
        <v>234</v>
      </c>
      <c r="K616" s="16" t="s">
        <v>3248</v>
      </c>
      <c r="L616" s="16" t="s">
        <v>3231</v>
      </c>
    </row>
    <row r="617" spans="1:12" x14ac:dyDescent="0.35">
      <c r="A617" s="16" t="s">
        <v>2078</v>
      </c>
      <c r="B617" s="17">
        <v>46137.581273148149</v>
      </c>
      <c r="C617" s="16" t="s">
        <v>241</v>
      </c>
      <c r="D617" s="16" t="s">
        <v>242</v>
      </c>
      <c r="E617" s="16" t="s">
        <v>2079</v>
      </c>
      <c r="F617" s="16" t="s">
        <v>219</v>
      </c>
      <c r="G617" s="16" t="s">
        <v>231</v>
      </c>
      <c r="H617" s="16" t="s">
        <v>277</v>
      </c>
      <c r="I617" s="16" t="s">
        <v>2080</v>
      </c>
      <c r="J617" s="16" t="s">
        <v>249</v>
      </c>
      <c r="K617" s="16" t="s">
        <v>3251</v>
      </c>
      <c r="L617" s="16" t="s">
        <v>3231</v>
      </c>
    </row>
    <row r="618" spans="1:12" x14ac:dyDescent="0.35">
      <c r="A618" s="16" t="s">
        <v>2081</v>
      </c>
      <c r="B618" s="17">
        <v>45399.254247685189</v>
      </c>
      <c r="C618" s="16" t="s">
        <v>216</v>
      </c>
      <c r="D618" s="16" t="s">
        <v>217</v>
      </c>
      <c r="E618" s="16" t="s">
        <v>2082</v>
      </c>
      <c r="F618" s="16" t="s">
        <v>237</v>
      </c>
      <c r="G618" s="16" t="s">
        <v>231</v>
      </c>
      <c r="H618" s="16" t="s">
        <v>238</v>
      </c>
      <c r="I618" s="16" t="s">
        <v>2083</v>
      </c>
      <c r="J618" s="16" t="s">
        <v>234</v>
      </c>
      <c r="K618" s="16" t="s">
        <v>3248</v>
      </c>
      <c r="L618" s="16" t="s">
        <v>3231</v>
      </c>
    </row>
    <row r="619" spans="1:12" x14ac:dyDescent="0.35">
      <c r="A619" s="16" t="s">
        <v>2084</v>
      </c>
      <c r="B619" s="17">
        <v>45829.220196759263</v>
      </c>
      <c r="C619" s="16" t="s">
        <v>260</v>
      </c>
      <c r="D619" s="16" t="s">
        <v>261</v>
      </c>
      <c r="E619" s="16" t="s">
        <v>2085</v>
      </c>
      <c r="F619" s="16" t="s">
        <v>237</v>
      </c>
      <c r="G619" s="16" t="s">
        <v>220</v>
      </c>
      <c r="H619" s="16" t="s">
        <v>232</v>
      </c>
      <c r="I619" s="16" t="s">
        <v>2086</v>
      </c>
      <c r="J619" s="16" t="s">
        <v>223</v>
      </c>
      <c r="K619" s="16" t="s">
        <v>3253</v>
      </c>
      <c r="L619" s="16" t="s">
        <v>3234</v>
      </c>
    </row>
    <row r="620" spans="1:12" x14ac:dyDescent="0.35">
      <c r="A620" s="16" t="s">
        <v>2087</v>
      </c>
      <c r="B620" s="17">
        <v>45491.805983796294</v>
      </c>
      <c r="C620" s="16" t="s">
        <v>301</v>
      </c>
      <c r="D620" s="16" t="s">
        <v>302</v>
      </c>
      <c r="E620" s="16" t="s">
        <v>2088</v>
      </c>
      <c r="F620" s="16" t="s">
        <v>237</v>
      </c>
      <c r="G620" s="16" t="s">
        <v>231</v>
      </c>
      <c r="H620" s="16" t="s">
        <v>273</v>
      </c>
      <c r="I620" s="16" t="s">
        <v>2089</v>
      </c>
      <c r="J620" s="16" t="s">
        <v>249</v>
      </c>
      <c r="K620" s="16" t="s">
        <v>3252</v>
      </c>
      <c r="L620" s="16" t="s">
        <v>3232</v>
      </c>
    </row>
    <row r="621" spans="1:12" x14ac:dyDescent="0.35">
      <c r="A621" s="16" t="s">
        <v>2090</v>
      </c>
      <c r="B621" s="17">
        <v>46093.699513888889</v>
      </c>
      <c r="C621" s="16" t="s">
        <v>301</v>
      </c>
      <c r="D621" s="16" t="s">
        <v>302</v>
      </c>
      <c r="E621" s="16" t="s">
        <v>2091</v>
      </c>
      <c r="F621" s="16" t="s">
        <v>219</v>
      </c>
      <c r="G621" s="16" t="s">
        <v>220</v>
      </c>
      <c r="H621" s="16" t="s">
        <v>221</v>
      </c>
      <c r="I621" s="16" t="s">
        <v>2092</v>
      </c>
      <c r="J621" s="16" t="s">
        <v>249</v>
      </c>
      <c r="K621" s="16" t="s">
        <v>3243</v>
      </c>
      <c r="L621" s="16" t="s">
        <v>3234</v>
      </c>
    </row>
    <row r="622" spans="1:12" x14ac:dyDescent="0.35">
      <c r="A622" s="16" t="s">
        <v>2093</v>
      </c>
      <c r="B622" s="17">
        <v>45313.01284722222</v>
      </c>
      <c r="C622" s="16" t="s">
        <v>228</v>
      </c>
      <c r="D622" s="16" t="s">
        <v>229</v>
      </c>
      <c r="E622" s="16" t="s">
        <v>2094</v>
      </c>
      <c r="F622" s="16" t="s">
        <v>69</v>
      </c>
      <c r="G622" s="16" t="s">
        <v>231</v>
      </c>
      <c r="H622" s="16" t="s">
        <v>238</v>
      </c>
      <c r="I622" s="16" t="s">
        <v>2095</v>
      </c>
      <c r="J622" s="16" t="s">
        <v>270</v>
      </c>
      <c r="K622" s="16" t="s">
        <v>3245</v>
      </c>
      <c r="L622" s="16" t="s">
        <v>3232</v>
      </c>
    </row>
    <row r="623" spans="1:12" x14ac:dyDescent="0.35">
      <c r="A623" s="16" t="s">
        <v>2096</v>
      </c>
      <c r="B623" s="17">
        <v>45872.38212962963</v>
      </c>
      <c r="C623" s="16" t="s">
        <v>260</v>
      </c>
      <c r="D623" s="16" t="s">
        <v>261</v>
      </c>
      <c r="E623" s="16" t="s">
        <v>2097</v>
      </c>
      <c r="F623" s="16" t="s">
        <v>69</v>
      </c>
      <c r="G623" s="16" t="s">
        <v>220</v>
      </c>
      <c r="H623" s="16" t="s">
        <v>238</v>
      </c>
      <c r="I623" s="16" t="s">
        <v>2098</v>
      </c>
      <c r="J623" s="16" t="s">
        <v>234</v>
      </c>
      <c r="K623" s="16" t="s">
        <v>3229</v>
      </c>
      <c r="L623" s="16" t="s">
        <v>3230</v>
      </c>
    </row>
    <row r="624" spans="1:12" x14ac:dyDescent="0.35">
      <c r="A624" s="16" t="s">
        <v>2099</v>
      </c>
      <c r="B624" s="17">
        <v>45468.917326388888</v>
      </c>
      <c r="C624" s="16" t="s">
        <v>241</v>
      </c>
      <c r="D624" s="16" t="s">
        <v>242</v>
      </c>
      <c r="E624" s="16" t="s">
        <v>2100</v>
      </c>
      <c r="F624" s="16" t="s">
        <v>237</v>
      </c>
      <c r="G624" s="16" t="s">
        <v>244</v>
      </c>
      <c r="H624" s="16" t="s">
        <v>221</v>
      </c>
      <c r="I624" s="16" t="s">
        <v>2101</v>
      </c>
      <c r="J624" s="16" t="s">
        <v>234</v>
      </c>
      <c r="K624" s="16" t="s">
        <v>3241</v>
      </c>
      <c r="L624" s="16" t="s">
        <v>3231</v>
      </c>
    </row>
    <row r="625" spans="1:12" x14ac:dyDescent="0.35">
      <c r="A625" s="16" t="s">
        <v>2102</v>
      </c>
      <c r="B625" s="17">
        <v>45447.969050925924</v>
      </c>
      <c r="C625" s="16" t="s">
        <v>301</v>
      </c>
      <c r="D625" s="16" t="s">
        <v>302</v>
      </c>
      <c r="E625" s="16" t="s">
        <v>2103</v>
      </c>
      <c r="F625" s="16" t="s">
        <v>237</v>
      </c>
      <c r="G625" s="16" t="s">
        <v>231</v>
      </c>
      <c r="H625" s="16" t="s">
        <v>238</v>
      </c>
      <c r="I625" s="16" t="s">
        <v>2104</v>
      </c>
      <c r="J625" s="16" t="s">
        <v>234</v>
      </c>
      <c r="K625" s="16" t="s">
        <v>3245</v>
      </c>
      <c r="L625" s="16" t="s">
        <v>3232</v>
      </c>
    </row>
    <row r="626" spans="1:12" x14ac:dyDescent="0.35">
      <c r="A626" s="16" t="s">
        <v>2105</v>
      </c>
      <c r="B626" s="17">
        <v>46075.589502314811</v>
      </c>
      <c r="C626" s="16" t="s">
        <v>216</v>
      </c>
      <c r="D626" s="16" t="s">
        <v>217</v>
      </c>
      <c r="E626" s="16" t="s">
        <v>2106</v>
      </c>
      <c r="F626" s="16" t="s">
        <v>69</v>
      </c>
      <c r="G626" s="16" t="s">
        <v>231</v>
      </c>
      <c r="H626" s="16" t="s">
        <v>238</v>
      </c>
      <c r="I626" s="16" t="s">
        <v>2107</v>
      </c>
      <c r="J626" s="16" t="s">
        <v>223</v>
      </c>
      <c r="K626" s="16" t="s">
        <v>3252</v>
      </c>
      <c r="L626" s="16" t="s">
        <v>3232</v>
      </c>
    </row>
    <row r="627" spans="1:12" x14ac:dyDescent="0.35">
      <c r="A627" s="16" t="s">
        <v>2108</v>
      </c>
      <c r="B627" s="17">
        <v>46096.270694444444</v>
      </c>
      <c r="C627" s="16" t="s">
        <v>216</v>
      </c>
      <c r="D627" s="16" t="s">
        <v>217</v>
      </c>
      <c r="E627" s="16" t="s">
        <v>2109</v>
      </c>
      <c r="F627" s="16" t="s">
        <v>237</v>
      </c>
      <c r="G627" s="16" t="s">
        <v>220</v>
      </c>
      <c r="H627" s="16" t="s">
        <v>232</v>
      </c>
      <c r="I627" s="16" t="s">
        <v>2110</v>
      </c>
      <c r="J627" s="16" t="s">
        <v>223</v>
      </c>
      <c r="K627" s="16" t="s">
        <v>3255</v>
      </c>
      <c r="L627" s="16" t="s">
        <v>3235</v>
      </c>
    </row>
    <row r="628" spans="1:12" x14ac:dyDescent="0.35">
      <c r="A628" s="16" t="s">
        <v>2111</v>
      </c>
      <c r="B628" s="17">
        <v>46196.392905092594</v>
      </c>
      <c r="C628" s="16" t="s">
        <v>228</v>
      </c>
      <c r="D628" s="16" t="s">
        <v>229</v>
      </c>
      <c r="E628" s="16" t="s">
        <v>2112</v>
      </c>
      <c r="F628" s="16" t="s">
        <v>69</v>
      </c>
      <c r="G628" s="16" t="s">
        <v>220</v>
      </c>
      <c r="H628" s="16" t="s">
        <v>273</v>
      </c>
      <c r="I628" s="16" t="s">
        <v>2113</v>
      </c>
      <c r="J628" s="16" t="s">
        <v>249</v>
      </c>
      <c r="K628" s="16" t="s">
        <v>3255</v>
      </c>
      <c r="L628" s="16" t="s">
        <v>3235</v>
      </c>
    </row>
    <row r="629" spans="1:12" x14ac:dyDescent="0.35">
      <c r="A629" s="16" t="s">
        <v>2114</v>
      </c>
      <c r="B629" s="17">
        <v>45596.990416666667</v>
      </c>
      <c r="C629" s="16" t="s">
        <v>260</v>
      </c>
      <c r="D629" s="16" t="s">
        <v>261</v>
      </c>
      <c r="E629" s="16" t="s">
        <v>2115</v>
      </c>
      <c r="F629" s="16" t="s">
        <v>69</v>
      </c>
      <c r="G629" s="16" t="s">
        <v>220</v>
      </c>
      <c r="H629" s="16" t="s">
        <v>221</v>
      </c>
      <c r="I629" s="16" t="s">
        <v>2116</v>
      </c>
      <c r="J629" s="16" t="s">
        <v>234</v>
      </c>
      <c r="K629" s="16" t="s">
        <v>3254</v>
      </c>
      <c r="L629" s="16" t="s">
        <v>3232</v>
      </c>
    </row>
    <row r="630" spans="1:12" x14ac:dyDescent="0.35">
      <c r="A630" s="16" t="s">
        <v>2117</v>
      </c>
      <c r="B630" s="17">
        <v>45299.781851851854</v>
      </c>
      <c r="C630" s="16" t="s">
        <v>301</v>
      </c>
      <c r="D630" s="16" t="s">
        <v>302</v>
      </c>
      <c r="E630" s="16" t="s">
        <v>2118</v>
      </c>
      <c r="F630" s="16" t="s">
        <v>237</v>
      </c>
      <c r="G630" s="16" t="s">
        <v>231</v>
      </c>
      <c r="H630" s="16" t="s">
        <v>232</v>
      </c>
      <c r="I630" s="16" t="s">
        <v>2119</v>
      </c>
      <c r="J630" s="16" t="s">
        <v>270</v>
      </c>
      <c r="K630" s="16" t="s">
        <v>3245</v>
      </c>
      <c r="L630" s="16" t="s">
        <v>3232</v>
      </c>
    </row>
    <row r="631" spans="1:12" x14ac:dyDescent="0.35">
      <c r="A631" s="16" t="s">
        <v>2120</v>
      </c>
      <c r="B631" s="17">
        <v>46079.731307870374</v>
      </c>
      <c r="C631" s="16" t="s">
        <v>241</v>
      </c>
      <c r="D631" s="16" t="s">
        <v>242</v>
      </c>
      <c r="E631" s="16" t="s">
        <v>2121</v>
      </c>
      <c r="F631" s="16" t="s">
        <v>219</v>
      </c>
      <c r="G631" s="16" t="s">
        <v>244</v>
      </c>
      <c r="H631" s="16" t="s">
        <v>277</v>
      </c>
      <c r="I631" s="16" t="s">
        <v>2122</v>
      </c>
      <c r="J631" s="16" t="s">
        <v>249</v>
      </c>
      <c r="K631" s="16" t="s">
        <v>3237</v>
      </c>
      <c r="L631" s="16" t="s">
        <v>3230</v>
      </c>
    </row>
    <row r="632" spans="1:12" x14ac:dyDescent="0.35">
      <c r="A632" s="16" t="s">
        <v>2123</v>
      </c>
      <c r="B632" s="17">
        <v>46040.811041666668</v>
      </c>
      <c r="C632" s="16" t="s">
        <v>260</v>
      </c>
      <c r="D632" s="16" t="s">
        <v>261</v>
      </c>
      <c r="E632" s="16" t="s">
        <v>2124</v>
      </c>
      <c r="F632" s="16" t="s">
        <v>69</v>
      </c>
      <c r="G632" s="16" t="s">
        <v>231</v>
      </c>
      <c r="H632" s="16" t="s">
        <v>221</v>
      </c>
      <c r="I632" s="16" t="s">
        <v>2125</v>
      </c>
      <c r="J632" s="16" t="s">
        <v>234</v>
      </c>
      <c r="K632" s="16" t="s">
        <v>3242</v>
      </c>
      <c r="L632" s="16" t="s">
        <v>3232</v>
      </c>
    </row>
    <row r="633" spans="1:12" x14ac:dyDescent="0.35">
      <c r="A633" s="16" t="s">
        <v>2126</v>
      </c>
      <c r="B633" s="17">
        <v>46078.289756944447</v>
      </c>
      <c r="C633" s="16" t="s">
        <v>228</v>
      </c>
      <c r="D633" s="16" t="s">
        <v>229</v>
      </c>
      <c r="E633" s="16" t="s">
        <v>2127</v>
      </c>
      <c r="F633" s="16" t="s">
        <v>219</v>
      </c>
      <c r="G633" s="16" t="s">
        <v>231</v>
      </c>
      <c r="H633" s="16" t="s">
        <v>273</v>
      </c>
      <c r="I633" s="16" t="s">
        <v>2128</v>
      </c>
      <c r="J633" s="16" t="s">
        <v>249</v>
      </c>
      <c r="K633" s="16" t="s">
        <v>3258</v>
      </c>
      <c r="L633" s="16" t="s">
        <v>3235</v>
      </c>
    </row>
    <row r="634" spans="1:12" x14ac:dyDescent="0.35">
      <c r="A634" s="16" t="s">
        <v>2129</v>
      </c>
      <c r="B634" s="17">
        <v>45680.212291666663</v>
      </c>
      <c r="C634" s="16" t="s">
        <v>260</v>
      </c>
      <c r="D634" s="16" t="s">
        <v>261</v>
      </c>
      <c r="E634" s="16" t="s">
        <v>2130</v>
      </c>
      <c r="F634" s="16" t="s">
        <v>69</v>
      </c>
      <c r="G634" s="16" t="s">
        <v>220</v>
      </c>
      <c r="H634" s="16" t="s">
        <v>221</v>
      </c>
      <c r="I634" s="16" t="s">
        <v>2131</v>
      </c>
      <c r="J634" s="16" t="s">
        <v>223</v>
      </c>
      <c r="K634" s="16" t="s">
        <v>3252</v>
      </c>
      <c r="L634" s="16" t="s">
        <v>3232</v>
      </c>
    </row>
    <row r="635" spans="1:12" x14ac:dyDescent="0.35">
      <c r="A635" s="16" t="s">
        <v>2132</v>
      </c>
      <c r="B635" s="17">
        <v>46315.81</v>
      </c>
      <c r="C635" s="16" t="s">
        <v>216</v>
      </c>
      <c r="D635" s="16" t="s">
        <v>217</v>
      </c>
      <c r="E635" s="16" t="s">
        <v>2133</v>
      </c>
      <c r="F635" s="16" t="s">
        <v>69</v>
      </c>
      <c r="G635" s="16" t="s">
        <v>220</v>
      </c>
      <c r="H635" s="16" t="s">
        <v>273</v>
      </c>
      <c r="I635" s="16" t="s">
        <v>2134</v>
      </c>
      <c r="J635" s="16" t="s">
        <v>249</v>
      </c>
      <c r="K635" s="16" t="s">
        <v>3238</v>
      </c>
      <c r="L635" s="16" t="s">
        <v>3230</v>
      </c>
    </row>
    <row r="636" spans="1:12" x14ac:dyDescent="0.35">
      <c r="A636" s="16" t="s">
        <v>2135</v>
      </c>
      <c r="B636" s="17">
        <v>45725.991909722223</v>
      </c>
      <c r="C636" s="16" t="s">
        <v>216</v>
      </c>
      <c r="D636" s="16" t="s">
        <v>217</v>
      </c>
      <c r="E636" s="16" t="s">
        <v>2136</v>
      </c>
      <c r="F636" s="16" t="s">
        <v>219</v>
      </c>
      <c r="G636" s="16" t="s">
        <v>231</v>
      </c>
      <c r="H636" s="16" t="s">
        <v>232</v>
      </c>
      <c r="I636" s="16" t="s">
        <v>2137</v>
      </c>
      <c r="J636" s="16" t="s">
        <v>234</v>
      </c>
      <c r="K636" s="16" t="s">
        <v>3237</v>
      </c>
      <c r="L636" s="16" t="s">
        <v>3230</v>
      </c>
    </row>
    <row r="637" spans="1:12" x14ac:dyDescent="0.35">
      <c r="A637" s="16" t="s">
        <v>2138</v>
      </c>
      <c r="B637" s="17">
        <v>46293.991886574076</v>
      </c>
      <c r="C637" s="16" t="s">
        <v>216</v>
      </c>
      <c r="D637" s="16" t="s">
        <v>217</v>
      </c>
      <c r="E637" s="16" t="s">
        <v>2139</v>
      </c>
      <c r="F637" s="16" t="s">
        <v>237</v>
      </c>
      <c r="G637" s="16" t="s">
        <v>244</v>
      </c>
      <c r="H637" s="16" t="s">
        <v>221</v>
      </c>
      <c r="I637" s="16" t="s">
        <v>2140</v>
      </c>
      <c r="J637" s="16" t="s">
        <v>234</v>
      </c>
      <c r="K637" s="16" t="s">
        <v>3245</v>
      </c>
      <c r="L637" s="16" t="s">
        <v>3232</v>
      </c>
    </row>
    <row r="638" spans="1:12" x14ac:dyDescent="0.35">
      <c r="A638" s="16" t="s">
        <v>2141</v>
      </c>
      <c r="B638" s="17">
        <v>45921.147592592592</v>
      </c>
      <c r="C638" s="16" t="s">
        <v>216</v>
      </c>
      <c r="D638" s="16" t="s">
        <v>217</v>
      </c>
      <c r="E638" s="16" t="s">
        <v>2142</v>
      </c>
      <c r="F638" s="16" t="s">
        <v>219</v>
      </c>
      <c r="G638" s="16" t="s">
        <v>220</v>
      </c>
      <c r="H638" s="16" t="s">
        <v>277</v>
      </c>
      <c r="I638" s="16" t="s">
        <v>2143</v>
      </c>
      <c r="J638" s="16" t="s">
        <v>270</v>
      </c>
      <c r="K638" s="16" t="s">
        <v>3248</v>
      </c>
      <c r="L638" s="16" t="s">
        <v>3231</v>
      </c>
    </row>
    <row r="639" spans="1:12" x14ac:dyDescent="0.35">
      <c r="A639" s="16" t="s">
        <v>2144</v>
      </c>
      <c r="B639" s="17">
        <v>45743.095729166664</v>
      </c>
      <c r="C639" s="16" t="s">
        <v>260</v>
      </c>
      <c r="D639" s="16" t="s">
        <v>261</v>
      </c>
      <c r="E639" s="16" t="s">
        <v>2145</v>
      </c>
      <c r="F639" s="16" t="s">
        <v>237</v>
      </c>
      <c r="G639" s="16" t="s">
        <v>231</v>
      </c>
      <c r="H639" s="16" t="s">
        <v>273</v>
      </c>
      <c r="I639" s="16" t="s">
        <v>2146</v>
      </c>
      <c r="J639" s="16" t="s">
        <v>270</v>
      </c>
      <c r="K639" s="16" t="s">
        <v>3254</v>
      </c>
      <c r="L639" s="16" t="s">
        <v>3232</v>
      </c>
    </row>
    <row r="640" spans="1:12" x14ac:dyDescent="0.35">
      <c r="A640" s="16" t="s">
        <v>2147</v>
      </c>
      <c r="B640" s="17">
        <v>45950.323472222219</v>
      </c>
      <c r="C640" s="16" t="s">
        <v>241</v>
      </c>
      <c r="D640" s="16" t="s">
        <v>242</v>
      </c>
      <c r="E640" s="16" t="s">
        <v>2148</v>
      </c>
      <c r="F640" s="16" t="s">
        <v>219</v>
      </c>
      <c r="G640" s="16" t="s">
        <v>220</v>
      </c>
      <c r="H640" s="16" t="s">
        <v>273</v>
      </c>
      <c r="I640" s="16" t="s">
        <v>2149</v>
      </c>
      <c r="J640" s="16" t="s">
        <v>270</v>
      </c>
      <c r="K640" s="16" t="s">
        <v>3238</v>
      </c>
      <c r="L640" s="16" t="s">
        <v>3230</v>
      </c>
    </row>
    <row r="641" spans="1:12" x14ac:dyDescent="0.35">
      <c r="A641" s="16" t="s">
        <v>2150</v>
      </c>
      <c r="B641" s="17">
        <v>45636.561192129629</v>
      </c>
      <c r="C641" s="16" t="s">
        <v>301</v>
      </c>
      <c r="D641" s="16" t="s">
        <v>302</v>
      </c>
      <c r="E641" s="16" t="s">
        <v>2151</v>
      </c>
      <c r="F641" s="16" t="s">
        <v>69</v>
      </c>
      <c r="G641" s="16" t="s">
        <v>231</v>
      </c>
      <c r="H641" s="16" t="s">
        <v>277</v>
      </c>
      <c r="I641" s="16" t="s">
        <v>2152</v>
      </c>
      <c r="J641" s="16" t="s">
        <v>270</v>
      </c>
      <c r="K641" s="16" t="s">
        <v>3247</v>
      </c>
      <c r="L641" s="16" t="s">
        <v>3234</v>
      </c>
    </row>
    <row r="642" spans="1:12" x14ac:dyDescent="0.35">
      <c r="A642" s="16" t="s">
        <v>2153</v>
      </c>
      <c r="B642" s="17">
        <v>46062.239317129628</v>
      </c>
      <c r="C642" s="16" t="s">
        <v>228</v>
      </c>
      <c r="D642" s="16" t="s">
        <v>229</v>
      </c>
      <c r="E642" s="16" t="s">
        <v>2154</v>
      </c>
      <c r="F642" s="16" t="s">
        <v>237</v>
      </c>
      <c r="G642" s="16" t="s">
        <v>220</v>
      </c>
      <c r="H642" s="16" t="s">
        <v>221</v>
      </c>
      <c r="I642" s="16" t="s">
        <v>2155</v>
      </c>
      <c r="J642" s="16" t="s">
        <v>234</v>
      </c>
      <c r="K642" s="16" t="s">
        <v>3229</v>
      </c>
      <c r="L642" s="16" t="s">
        <v>3230</v>
      </c>
    </row>
    <row r="643" spans="1:12" x14ac:dyDescent="0.35">
      <c r="A643" s="16" t="s">
        <v>2156</v>
      </c>
      <c r="B643" s="17">
        <v>46144.722118055557</v>
      </c>
      <c r="C643" s="16" t="s">
        <v>216</v>
      </c>
      <c r="D643" s="16" t="s">
        <v>217</v>
      </c>
      <c r="E643" s="16" t="s">
        <v>2157</v>
      </c>
      <c r="F643" s="16" t="s">
        <v>69</v>
      </c>
      <c r="G643" s="16" t="s">
        <v>220</v>
      </c>
      <c r="H643" s="16" t="s">
        <v>273</v>
      </c>
      <c r="I643" s="16" t="s">
        <v>2158</v>
      </c>
      <c r="J643" s="16" t="s">
        <v>223</v>
      </c>
      <c r="K643" s="16" t="s">
        <v>3257</v>
      </c>
      <c r="L643" s="16" t="s">
        <v>3234</v>
      </c>
    </row>
    <row r="644" spans="1:12" x14ac:dyDescent="0.35">
      <c r="A644" s="16" t="s">
        <v>2159</v>
      </c>
      <c r="B644" s="17">
        <v>45369.904560185183</v>
      </c>
      <c r="C644" s="16" t="s">
        <v>260</v>
      </c>
      <c r="D644" s="16" t="s">
        <v>261</v>
      </c>
      <c r="E644" s="16" t="s">
        <v>2160</v>
      </c>
      <c r="F644" s="16" t="s">
        <v>219</v>
      </c>
      <c r="G644" s="16" t="s">
        <v>231</v>
      </c>
      <c r="H644" s="16" t="s">
        <v>277</v>
      </c>
      <c r="I644" s="16" t="s">
        <v>2161</v>
      </c>
      <c r="J644" s="16" t="s">
        <v>249</v>
      </c>
      <c r="K644" s="16" t="s">
        <v>3251</v>
      </c>
      <c r="L644" s="16" t="s">
        <v>3231</v>
      </c>
    </row>
    <row r="645" spans="1:12" x14ac:dyDescent="0.35">
      <c r="A645" s="16" t="s">
        <v>2162</v>
      </c>
      <c r="B645" s="17">
        <v>45774.291122685187</v>
      </c>
      <c r="C645" s="16" t="s">
        <v>301</v>
      </c>
      <c r="D645" s="16" t="s">
        <v>302</v>
      </c>
      <c r="E645" s="16" t="s">
        <v>2163</v>
      </c>
      <c r="F645" s="16" t="s">
        <v>219</v>
      </c>
      <c r="G645" s="16" t="s">
        <v>220</v>
      </c>
      <c r="H645" s="16" t="s">
        <v>232</v>
      </c>
      <c r="I645" s="16" t="s">
        <v>2164</v>
      </c>
      <c r="J645" s="16" t="s">
        <v>234</v>
      </c>
      <c r="K645" s="16" t="s">
        <v>3259</v>
      </c>
      <c r="L645" s="16" t="s">
        <v>3235</v>
      </c>
    </row>
    <row r="646" spans="1:12" x14ac:dyDescent="0.35">
      <c r="A646" s="16" t="s">
        <v>2165</v>
      </c>
      <c r="B646" s="17">
        <v>45400.293877314813</v>
      </c>
      <c r="C646" s="16" t="s">
        <v>260</v>
      </c>
      <c r="D646" s="16" t="s">
        <v>261</v>
      </c>
      <c r="E646" s="16" t="s">
        <v>2166</v>
      </c>
      <c r="F646" s="16" t="s">
        <v>69</v>
      </c>
      <c r="G646" s="16" t="s">
        <v>244</v>
      </c>
      <c r="H646" s="16" t="s">
        <v>277</v>
      </c>
      <c r="I646" s="16" t="s">
        <v>2167</v>
      </c>
      <c r="J646" s="16" t="s">
        <v>234</v>
      </c>
      <c r="K646" s="16" t="s">
        <v>3247</v>
      </c>
      <c r="L646" s="16" t="s">
        <v>3234</v>
      </c>
    </row>
    <row r="647" spans="1:12" x14ac:dyDescent="0.35">
      <c r="A647" s="16" t="s">
        <v>2168</v>
      </c>
      <c r="B647" s="17">
        <v>46037.432442129626</v>
      </c>
      <c r="C647" s="16" t="s">
        <v>228</v>
      </c>
      <c r="D647" s="16" t="s">
        <v>229</v>
      </c>
      <c r="E647" s="16" t="s">
        <v>2169</v>
      </c>
      <c r="F647" s="16" t="s">
        <v>237</v>
      </c>
      <c r="G647" s="16" t="s">
        <v>231</v>
      </c>
      <c r="H647" s="16" t="s">
        <v>221</v>
      </c>
      <c r="I647" s="16" t="s">
        <v>2170</v>
      </c>
      <c r="J647" s="16" t="s">
        <v>223</v>
      </c>
      <c r="K647" s="16" t="s">
        <v>3245</v>
      </c>
      <c r="L647" s="16" t="s">
        <v>3232</v>
      </c>
    </row>
    <row r="648" spans="1:12" x14ac:dyDescent="0.35">
      <c r="A648" s="16" t="s">
        <v>2171</v>
      </c>
      <c r="B648" s="17">
        <v>45652.239756944444</v>
      </c>
      <c r="C648" s="16" t="s">
        <v>216</v>
      </c>
      <c r="D648" s="16" t="s">
        <v>217</v>
      </c>
      <c r="E648" s="16" t="s">
        <v>2172</v>
      </c>
      <c r="F648" s="16" t="s">
        <v>237</v>
      </c>
      <c r="G648" s="16" t="s">
        <v>244</v>
      </c>
      <c r="H648" s="16" t="s">
        <v>221</v>
      </c>
      <c r="I648" s="16" t="s">
        <v>2173</v>
      </c>
      <c r="J648" s="16" t="s">
        <v>234</v>
      </c>
      <c r="K648" s="16" t="s">
        <v>3233</v>
      </c>
      <c r="L648" s="16" t="s">
        <v>3230</v>
      </c>
    </row>
    <row r="649" spans="1:12" x14ac:dyDescent="0.35">
      <c r="A649" s="16" t="s">
        <v>2174</v>
      </c>
      <c r="B649" s="17">
        <v>45959.635729166665</v>
      </c>
      <c r="C649" s="16" t="s">
        <v>260</v>
      </c>
      <c r="D649" s="16" t="s">
        <v>261</v>
      </c>
      <c r="E649" s="16" t="s">
        <v>2175</v>
      </c>
      <c r="F649" s="16" t="s">
        <v>219</v>
      </c>
      <c r="G649" s="16" t="s">
        <v>244</v>
      </c>
      <c r="H649" s="16" t="s">
        <v>273</v>
      </c>
      <c r="I649" s="16" t="s">
        <v>2176</v>
      </c>
      <c r="J649" s="16" t="s">
        <v>270</v>
      </c>
      <c r="K649" s="16" t="s">
        <v>3256</v>
      </c>
      <c r="L649" s="16" t="s">
        <v>3231</v>
      </c>
    </row>
    <row r="650" spans="1:12" x14ac:dyDescent="0.35">
      <c r="A650" s="16" t="s">
        <v>2177</v>
      </c>
      <c r="B650" s="17">
        <v>45777.625914351855</v>
      </c>
      <c r="C650" s="16" t="s">
        <v>301</v>
      </c>
      <c r="D650" s="16" t="s">
        <v>302</v>
      </c>
      <c r="E650" s="16" t="s">
        <v>2178</v>
      </c>
      <c r="F650" s="16" t="s">
        <v>237</v>
      </c>
      <c r="G650" s="16" t="s">
        <v>220</v>
      </c>
      <c r="H650" s="16" t="s">
        <v>277</v>
      </c>
      <c r="I650" s="16" t="s">
        <v>2179</v>
      </c>
      <c r="J650" s="16" t="s">
        <v>223</v>
      </c>
      <c r="K650" s="16" t="s">
        <v>3229</v>
      </c>
      <c r="L650" s="16" t="s">
        <v>3230</v>
      </c>
    </row>
    <row r="651" spans="1:12" x14ac:dyDescent="0.35">
      <c r="A651" s="16" t="s">
        <v>2180</v>
      </c>
      <c r="B651" s="17">
        <v>45734.924525462964</v>
      </c>
      <c r="C651" s="16" t="s">
        <v>216</v>
      </c>
      <c r="D651" s="16" t="s">
        <v>217</v>
      </c>
      <c r="E651" s="16" t="s">
        <v>2181</v>
      </c>
      <c r="F651" s="16" t="s">
        <v>69</v>
      </c>
      <c r="G651" s="16" t="s">
        <v>231</v>
      </c>
      <c r="H651" s="16" t="s">
        <v>232</v>
      </c>
      <c r="I651" s="16" t="s">
        <v>2182</v>
      </c>
      <c r="J651" s="16" t="s">
        <v>223</v>
      </c>
      <c r="K651" s="16" t="s">
        <v>3257</v>
      </c>
      <c r="L651" s="16" t="s">
        <v>3234</v>
      </c>
    </row>
    <row r="652" spans="1:12" x14ac:dyDescent="0.35">
      <c r="A652" s="16" t="s">
        <v>2183</v>
      </c>
      <c r="B652" s="17">
        <v>45706.509548611109</v>
      </c>
      <c r="C652" s="16" t="s">
        <v>228</v>
      </c>
      <c r="D652" s="16" t="s">
        <v>229</v>
      </c>
      <c r="E652" s="16" t="s">
        <v>2184</v>
      </c>
      <c r="F652" s="16" t="s">
        <v>69</v>
      </c>
      <c r="G652" s="16" t="s">
        <v>244</v>
      </c>
      <c r="H652" s="16" t="s">
        <v>238</v>
      </c>
      <c r="I652" s="16" t="s">
        <v>2185</v>
      </c>
      <c r="J652" s="16" t="s">
        <v>234</v>
      </c>
      <c r="K652" s="16" t="s">
        <v>3243</v>
      </c>
      <c r="L652" s="16" t="s">
        <v>3234</v>
      </c>
    </row>
    <row r="653" spans="1:12" x14ac:dyDescent="0.35">
      <c r="A653" s="16" t="s">
        <v>2186</v>
      </c>
      <c r="B653" s="17">
        <v>46148.259710648148</v>
      </c>
      <c r="C653" s="16" t="s">
        <v>216</v>
      </c>
      <c r="D653" s="16" t="s">
        <v>217</v>
      </c>
      <c r="E653" s="16" t="s">
        <v>2187</v>
      </c>
      <c r="F653" s="16" t="s">
        <v>69</v>
      </c>
      <c r="G653" s="16" t="s">
        <v>231</v>
      </c>
      <c r="H653" s="16" t="s">
        <v>232</v>
      </c>
      <c r="I653" s="16" t="s">
        <v>2188</v>
      </c>
      <c r="J653" s="16" t="s">
        <v>234</v>
      </c>
      <c r="K653" s="16" t="s">
        <v>3257</v>
      </c>
      <c r="L653" s="16" t="s">
        <v>3234</v>
      </c>
    </row>
    <row r="654" spans="1:12" x14ac:dyDescent="0.35">
      <c r="A654" s="16" t="s">
        <v>2189</v>
      </c>
      <c r="B654" s="17">
        <v>45469.624548611115</v>
      </c>
      <c r="C654" s="16" t="s">
        <v>241</v>
      </c>
      <c r="D654" s="16" t="s">
        <v>242</v>
      </c>
      <c r="E654" s="16" t="s">
        <v>2190</v>
      </c>
      <c r="F654" s="16" t="s">
        <v>237</v>
      </c>
      <c r="G654" s="16" t="s">
        <v>220</v>
      </c>
      <c r="H654" s="16" t="s">
        <v>273</v>
      </c>
      <c r="I654" s="16" t="s">
        <v>2191</v>
      </c>
      <c r="J654" s="16" t="s">
        <v>249</v>
      </c>
      <c r="K654" s="16" t="s">
        <v>3229</v>
      </c>
      <c r="L654" s="16" t="s">
        <v>3230</v>
      </c>
    </row>
    <row r="655" spans="1:12" x14ac:dyDescent="0.35">
      <c r="A655" s="16" t="s">
        <v>2192</v>
      </c>
      <c r="B655" s="17">
        <v>45799.496516203704</v>
      </c>
      <c r="C655" s="16" t="s">
        <v>216</v>
      </c>
      <c r="D655" s="16" t="s">
        <v>217</v>
      </c>
      <c r="E655" s="16" t="s">
        <v>2193</v>
      </c>
      <c r="F655" s="16" t="s">
        <v>219</v>
      </c>
      <c r="G655" s="16" t="s">
        <v>220</v>
      </c>
      <c r="H655" s="16" t="s">
        <v>232</v>
      </c>
      <c r="I655" s="16" t="s">
        <v>2194</v>
      </c>
      <c r="J655" s="16" t="s">
        <v>270</v>
      </c>
      <c r="K655" s="16" t="s">
        <v>3251</v>
      </c>
      <c r="L655" s="16" t="s">
        <v>3231</v>
      </c>
    </row>
    <row r="656" spans="1:12" x14ac:dyDescent="0.35">
      <c r="A656" s="16" t="s">
        <v>2195</v>
      </c>
      <c r="B656" s="17">
        <v>46255.764907407407</v>
      </c>
      <c r="C656" s="16" t="s">
        <v>260</v>
      </c>
      <c r="D656" s="16" t="s">
        <v>261</v>
      </c>
      <c r="E656" s="16" t="s">
        <v>2196</v>
      </c>
      <c r="F656" s="16" t="s">
        <v>237</v>
      </c>
      <c r="G656" s="16" t="s">
        <v>244</v>
      </c>
      <c r="H656" s="16" t="s">
        <v>221</v>
      </c>
      <c r="I656" s="16" t="s">
        <v>2197</v>
      </c>
      <c r="J656" s="16" t="s">
        <v>270</v>
      </c>
      <c r="K656" s="16" t="s">
        <v>3252</v>
      </c>
      <c r="L656" s="16" t="s">
        <v>3232</v>
      </c>
    </row>
    <row r="657" spans="1:12" x14ac:dyDescent="0.35">
      <c r="A657" s="16" t="s">
        <v>2198</v>
      </c>
      <c r="B657" s="17">
        <v>45462.847245370373</v>
      </c>
      <c r="C657" s="16" t="s">
        <v>260</v>
      </c>
      <c r="D657" s="16" t="s">
        <v>261</v>
      </c>
      <c r="E657" s="16" t="s">
        <v>2199</v>
      </c>
      <c r="F657" s="16" t="s">
        <v>219</v>
      </c>
      <c r="G657" s="16" t="s">
        <v>244</v>
      </c>
      <c r="H657" s="16" t="s">
        <v>232</v>
      </c>
      <c r="I657" s="16" t="s">
        <v>2200</v>
      </c>
      <c r="J657" s="16" t="s">
        <v>234</v>
      </c>
      <c r="K657" s="16" t="s">
        <v>3254</v>
      </c>
      <c r="L657" s="16" t="s">
        <v>3232</v>
      </c>
    </row>
    <row r="658" spans="1:12" x14ac:dyDescent="0.35">
      <c r="A658" s="16" t="s">
        <v>2201</v>
      </c>
      <c r="B658" s="17">
        <v>45477.024155092593</v>
      </c>
      <c r="C658" s="16" t="s">
        <v>301</v>
      </c>
      <c r="D658" s="16" t="s">
        <v>302</v>
      </c>
      <c r="E658" s="16" t="s">
        <v>2202</v>
      </c>
      <c r="F658" s="16" t="s">
        <v>219</v>
      </c>
      <c r="G658" s="16" t="s">
        <v>231</v>
      </c>
      <c r="H658" s="16" t="s">
        <v>238</v>
      </c>
      <c r="I658" s="16" t="s">
        <v>2203</v>
      </c>
      <c r="J658" s="16" t="s">
        <v>223</v>
      </c>
      <c r="K658" s="16" t="s">
        <v>3244</v>
      </c>
      <c r="L658" s="16" t="s">
        <v>3235</v>
      </c>
    </row>
    <row r="659" spans="1:12" x14ac:dyDescent="0.35">
      <c r="A659" s="16" t="s">
        <v>2204</v>
      </c>
      <c r="B659" s="17">
        <v>46223.703541666669</v>
      </c>
      <c r="C659" s="16" t="s">
        <v>241</v>
      </c>
      <c r="D659" s="16" t="s">
        <v>242</v>
      </c>
      <c r="E659" s="16" t="s">
        <v>2205</v>
      </c>
      <c r="F659" s="16" t="s">
        <v>219</v>
      </c>
      <c r="G659" s="16" t="s">
        <v>231</v>
      </c>
      <c r="H659" s="16" t="s">
        <v>273</v>
      </c>
      <c r="I659" s="16" t="s">
        <v>2206</v>
      </c>
      <c r="J659" s="16" t="s">
        <v>223</v>
      </c>
      <c r="K659" s="16" t="s">
        <v>3258</v>
      </c>
      <c r="L659" s="16" t="s">
        <v>3235</v>
      </c>
    </row>
    <row r="660" spans="1:12" x14ac:dyDescent="0.35">
      <c r="A660" s="16" t="s">
        <v>2207</v>
      </c>
      <c r="B660" s="17">
        <v>45973.80541666667</v>
      </c>
      <c r="C660" s="16" t="s">
        <v>216</v>
      </c>
      <c r="D660" s="16" t="s">
        <v>217</v>
      </c>
      <c r="E660" s="16" t="s">
        <v>2208</v>
      </c>
      <c r="F660" s="16" t="s">
        <v>237</v>
      </c>
      <c r="G660" s="16" t="s">
        <v>231</v>
      </c>
      <c r="H660" s="16" t="s">
        <v>221</v>
      </c>
      <c r="I660" s="16" t="s">
        <v>2209</v>
      </c>
      <c r="J660" s="16" t="s">
        <v>234</v>
      </c>
      <c r="K660" s="16" t="s">
        <v>3247</v>
      </c>
      <c r="L660" s="16" t="s">
        <v>3234</v>
      </c>
    </row>
    <row r="661" spans="1:12" x14ac:dyDescent="0.35">
      <c r="A661" s="16" t="s">
        <v>2210</v>
      </c>
      <c r="B661" s="17">
        <v>45404.780868055554</v>
      </c>
      <c r="C661" s="16" t="s">
        <v>216</v>
      </c>
      <c r="D661" s="16" t="s">
        <v>217</v>
      </c>
      <c r="E661" s="16" t="s">
        <v>2211</v>
      </c>
      <c r="F661" s="16" t="s">
        <v>237</v>
      </c>
      <c r="G661" s="16" t="s">
        <v>220</v>
      </c>
      <c r="H661" s="16" t="s">
        <v>273</v>
      </c>
      <c r="I661" s="16" t="s">
        <v>2212</v>
      </c>
      <c r="J661" s="16" t="s">
        <v>249</v>
      </c>
      <c r="K661" s="16" t="s">
        <v>3258</v>
      </c>
      <c r="L661" s="16" t="s">
        <v>3235</v>
      </c>
    </row>
    <row r="662" spans="1:12" x14ac:dyDescent="0.35">
      <c r="A662" s="16" t="s">
        <v>2213</v>
      </c>
      <c r="B662" s="17">
        <v>46040.555891203701</v>
      </c>
      <c r="C662" s="16" t="s">
        <v>260</v>
      </c>
      <c r="D662" s="16" t="s">
        <v>261</v>
      </c>
      <c r="E662" s="16" t="s">
        <v>2214</v>
      </c>
      <c r="F662" s="16" t="s">
        <v>219</v>
      </c>
      <c r="G662" s="16" t="s">
        <v>244</v>
      </c>
      <c r="H662" s="16" t="s">
        <v>273</v>
      </c>
      <c r="I662" s="16" t="s">
        <v>2215</v>
      </c>
      <c r="J662" s="16" t="s">
        <v>234</v>
      </c>
      <c r="K662" s="16" t="s">
        <v>3247</v>
      </c>
      <c r="L662" s="16" t="s">
        <v>3234</v>
      </c>
    </row>
    <row r="663" spans="1:12" x14ac:dyDescent="0.35">
      <c r="A663" s="16" t="s">
        <v>2216</v>
      </c>
      <c r="B663" s="17">
        <v>45524.984606481485</v>
      </c>
      <c r="C663" s="16" t="s">
        <v>228</v>
      </c>
      <c r="D663" s="16" t="s">
        <v>229</v>
      </c>
      <c r="E663" s="16" t="s">
        <v>2217</v>
      </c>
      <c r="F663" s="16" t="s">
        <v>219</v>
      </c>
      <c r="G663" s="16" t="s">
        <v>244</v>
      </c>
      <c r="H663" s="16" t="s">
        <v>238</v>
      </c>
      <c r="I663" s="16" t="s">
        <v>2218</v>
      </c>
      <c r="J663" s="16" t="s">
        <v>234</v>
      </c>
      <c r="K663" s="16" t="s">
        <v>3239</v>
      </c>
      <c r="L663" s="16" t="s">
        <v>3235</v>
      </c>
    </row>
    <row r="664" spans="1:12" x14ac:dyDescent="0.35">
      <c r="A664" s="16" t="s">
        <v>2219</v>
      </c>
      <c r="B664" s="17">
        <v>46323.641597222224</v>
      </c>
      <c r="C664" s="16" t="s">
        <v>301</v>
      </c>
      <c r="D664" s="16" t="s">
        <v>302</v>
      </c>
      <c r="E664" s="16" t="s">
        <v>2220</v>
      </c>
      <c r="F664" s="16" t="s">
        <v>69</v>
      </c>
      <c r="G664" s="16" t="s">
        <v>220</v>
      </c>
      <c r="H664" s="16" t="s">
        <v>238</v>
      </c>
      <c r="I664" s="16" t="s">
        <v>2221</v>
      </c>
      <c r="J664" s="16" t="s">
        <v>223</v>
      </c>
      <c r="K664" s="16" t="s">
        <v>3229</v>
      </c>
      <c r="L664" s="16" t="s">
        <v>3230</v>
      </c>
    </row>
    <row r="665" spans="1:12" x14ac:dyDescent="0.35">
      <c r="A665" s="16" t="s">
        <v>2222</v>
      </c>
      <c r="B665" s="17">
        <v>45543.713252314818</v>
      </c>
      <c r="C665" s="16" t="s">
        <v>260</v>
      </c>
      <c r="D665" s="16" t="s">
        <v>261</v>
      </c>
      <c r="E665" s="16" t="s">
        <v>2223</v>
      </c>
      <c r="F665" s="16" t="s">
        <v>219</v>
      </c>
      <c r="G665" s="16" t="s">
        <v>244</v>
      </c>
      <c r="H665" s="16" t="s">
        <v>273</v>
      </c>
      <c r="I665" s="16" t="s">
        <v>2224</v>
      </c>
      <c r="J665" s="16" t="s">
        <v>249</v>
      </c>
      <c r="K665" s="16" t="s">
        <v>3255</v>
      </c>
      <c r="L665" s="16" t="s">
        <v>3235</v>
      </c>
    </row>
    <row r="666" spans="1:12" x14ac:dyDescent="0.35">
      <c r="A666" s="16" t="s">
        <v>2225</v>
      </c>
      <c r="B666" s="17">
        <v>45470.121620370373</v>
      </c>
      <c r="C666" s="16" t="s">
        <v>216</v>
      </c>
      <c r="D666" s="16" t="s">
        <v>217</v>
      </c>
      <c r="E666" s="16" t="s">
        <v>2226</v>
      </c>
      <c r="F666" s="16" t="s">
        <v>69</v>
      </c>
      <c r="G666" s="16" t="s">
        <v>231</v>
      </c>
      <c r="H666" s="16" t="s">
        <v>277</v>
      </c>
      <c r="I666" s="16" t="s">
        <v>2227</v>
      </c>
      <c r="J666" s="16" t="s">
        <v>234</v>
      </c>
      <c r="K666" s="16" t="s">
        <v>3257</v>
      </c>
      <c r="L666" s="16" t="s">
        <v>3234</v>
      </c>
    </row>
    <row r="667" spans="1:12" x14ac:dyDescent="0.35">
      <c r="A667" s="16" t="s">
        <v>2228</v>
      </c>
      <c r="B667" s="17">
        <v>46308.228310185186</v>
      </c>
      <c r="C667" s="16" t="s">
        <v>301</v>
      </c>
      <c r="D667" s="16" t="s">
        <v>302</v>
      </c>
      <c r="E667" s="16" t="s">
        <v>2229</v>
      </c>
      <c r="F667" s="16" t="s">
        <v>219</v>
      </c>
      <c r="G667" s="16" t="s">
        <v>244</v>
      </c>
      <c r="H667" s="16" t="s">
        <v>221</v>
      </c>
      <c r="I667" s="16" t="s">
        <v>2230</v>
      </c>
      <c r="J667" s="16" t="s">
        <v>223</v>
      </c>
      <c r="K667" s="16" t="s">
        <v>3249</v>
      </c>
      <c r="L667" s="16" t="s">
        <v>3232</v>
      </c>
    </row>
    <row r="668" spans="1:12" x14ac:dyDescent="0.35">
      <c r="A668" s="16" t="s">
        <v>2231</v>
      </c>
      <c r="B668" s="17">
        <v>46002.637349537035</v>
      </c>
      <c r="C668" s="16" t="s">
        <v>241</v>
      </c>
      <c r="D668" s="16" t="s">
        <v>242</v>
      </c>
      <c r="E668" s="16" t="s">
        <v>2232</v>
      </c>
      <c r="F668" s="16" t="s">
        <v>219</v>
      </c>
      <c r="G668" s="16" t="s">
        <v>244</v>
      </c>
      <c r="H668" s="16" t="s">
        <v>277</v>
      </c>
      <c r="I668" s="16" t="s">
        <v>2233</v>
      </c>
      <c r="J668" s="16" t="s">
        <v>234</v>
      </c>
      <c r="K668" s="16" t="s">
        <v>3256</v>
      </c>
      <c r="L668" s="16" t="s">
        <v>3231</v>
      </c>
    </row>
    <row r="669" spans="1:12" x14ac:dyDescent="0.35">
      <c r="A669" s="16" t="s">
        <v>2234</v>
      </c>
      <c r="B669" s="17">
        <v>46356.977986111109</v>
      </c>
      <c r="C669" s="16" t="s">
        <v>216</v>
      </c>
      <c r="D669" s="16" t="s">
        <v>217</v>
      </c>
      <c r="E669" s="16" t="s">
        <v>2235</v>
      </c>
      <c r="F669" s="16" t="s">
        <v>237</v>
      </c>
      <c r="G669" s="16" t="s">
        <v>244</v>
      </c>
      <c r="H669" s="16" t="s">
        <v>221</v>
      </c>
      <c r="I669" s="16" t="s">
        <v>2236</v>
      </c>
      <c r="J669" s="16" t="s">
        <v>249</v>
      </c>
      <c r="K669" s="16" t="s">
        <v>3257</v>
      </c>
      <c r="L669" s="16" t="s">
        <v>3234</v>
      </c>
    </row>
    <row r="670" spans="1:12" x14ac:dyDescent="0.35">
      <c r="A670" s="16" t="s">
        <v>2237</v>
      </c>
      <c r="B670" s="17">
        <v>46203.694803240738</v>
      </c>
      <c r="C670" s="16" t="s">
        <v>260</v>
      </c>
      <c r="D670" s="16" t="s">
        <v>261</v>
      </c>
      <c r="E670" s="16" t="s">
        <v>2238</v>
      </c>
      <c r="F670" s="16" t="s">
        <v>219</v>
      </c>
      <c r="G670" s="16" t="s">
        <v>220</v>
      </c>
      <c r="H670" s="16" t="s">
        <v>273</v>
      </c>
      <c r="I670" s="16" t="s">
        <v>2239</v>
      </c>
      <c r="J670" s="16" t="s">
        <v>249</v>
      </c>
      <c r="K670" s="16" t="s">
        <v>3237</v>
      </c>
      <c r="L670" s="16" t="s">
        <v>3230</v>
      </c>
    </row>
    <row r="671" spans="1:12" x14ac:dyDescent="0.35">
      <c r="A671" s="16" t="s">
        <v>2240</v>
      </c>
      <c r="B671" s="17">
        <v>45882.071782407409</v>
      </c>
      <c r="C671" s="16" t="s">
        <v>228</v>
      </c>
      <c r="D671" s="16" t="s">
        <v>229</v>
      </c>
      <c r="E671" s="16" t="s">
        <v>2241</v>
      </c>
      <c r="F671" s="16" t="s">
        <v>237</v>
      </c>
      <c r="G671" s="16" t="s">
        <v>231</v>
      </c>
      <c r="H671" s="16" t="s">
        <v>232</v>
      </c>
      <c r="I671" s="16" t="s">
        <v>2242</v>
      </c>
      <c r="J671" s="16" t="s">
        <v>234</v>
      </c>
      <c r="K671" s="16" t="s">
        <v>3253</v>
      </c>
      <c r="L671" s="16" t="s">
        <v>3234</v>
      </c>
    </row>
    <row r="672" spans="1:12" x14ac:dyDescent="0.35">
      <c r="A672" s="16" t="s">
        <v>2243</v>
      </c>
      <c r="B672" s="17">
        <v>45651.232835648145</v>
      </c>
      <c r="C672" s="16" t="s">
        <v>241</v>
      </c>
      <c r="D672" s="16" t="s">
        <v>242</v>
      </c>
      <c r="E672" s="16" t="s">
        <v>2244</v>
      </c>
      <c r="F672" s="16" t="s">
        <v>69</v>
      </c>
      <c r="G672" s="16" t="s">
        <v>220</v>
      </c>
      <c r="H672" s="16" t="s">
        <v>238</v>
      </c>
      <c r="I672" s="16" t="s">
        <v>2245</v>
      </c>
      <c r="J672" s="16" t="s">
        <v>234</v>
      </c>
      <c r="K672" s="16" t="s">
        <v>3250</v>
      </c>
      <c r="L672" s="16" t="s">
        <v>3231</v>
      </c>
    </row>
    <row r="673" spans="1:12" x14ac:dyDescent="0.35">
      <c r="A673" s="16" t="s">
        <v>2246</v>
      </c>
      <c r="B673" s="17">
        <v>45669.311226851853</v>
      </c>
      <c r="C673" s="16" t="s">
        <v>260</v>
      </c>
      <c r="D673" s="16" t="s">
        <v>261</v>
      </c>
      <c r="E673" s="16" t="s">
        <v>2247</v>
      </c>
      <c r="F673" s="16" t="s">
        <v>219</v>
      </c>
      <c r="G673" s="16" t="s">
        <v>220</v>
      </c>
      <c r="H673" s="16" t="s">
        <v>238</v>
      </c>
      <c r="I673" s="16" t="s">
        <v>2248</v>
      </c>
      <c r="J673" s="16" t="s">
        <v>234</v>
      </c>
      <c r="K673" s="16" t="s">
        <v>3249</v>
      </c>
      <c r="L673" s="16" t="s">
        <v>3232</v>
      </c>
    </row>
    <row r="674" spans="1:12" x14ac:dyDescent="0.35">
      <c r="A674" s="16" t="s">
        <v>2249</v>
      </c>
      <c r="B674" s="17">
        <v>45624.809548611112</v>
      </c>
      <c r="C674" s="16" t="s">
        <v>301</v>
      </c>
      <c r="D674" s="16" t="s">
        <v>302</v>
      </c>
      <c r="E674" s="16" t="s">
        <v>2250</v>
      </c>
      <c r="F674" s="16" t="s">
        <v>69</v>
      </c>
      <c r="G674" s="16" t="s">
        <v>220</v>
      </c>
      <c r="H674" s="16" t="s">
        <v>232</v>
      </c>
      <c r="I674" s="16" t="s">
        <v>2251</v>
      </c>
      <c r="J674" s="16" t="s">
        <v>234</v>
      </c>
      <c r="K674" s="16" t="s">
        <v>3229</v>
      </c>
      <c r="L674" s="16" t="s">
        <v>3230</v>
      </c>
    </row>
    <row r="675" spans="1:12" x14ac:dyDescent="0.35">
      <c r="A675" s="16" t="s">
        <v>2252</v>
      </c>
      <c r="B675" s="17">
        <v>45300.828518518516</v>
      </c>
      <c r="C675" s="16" t="s">
        <v>260</v>
      </c>
      <c r="D675" s="16" t="s">
        <v>261</v>
      </c>
      <c r="E675" s="16" t="s">
        <v>2253</v>
      </c>
      <c r="F675" s="16" t="s">
        <v>237</v>
      </c>
      <c r="G675" s="16" t="s">
        <v>244</v>
      </c>
      <c r="H675" s="16" t="s">
        <v>238</v>
      </c>
      <c r="I675" s="16" t="s">
        <v>2254</v>
      </c>
      <c r="J675" s="16" t="s">
        <v>249</v>
      </c>
      <c r="K675" s="16" t="s">
        <v>3229</v>
      </c>
      <c r="L675" s="16" t="s">
        <v>3230</v>
      </c>
    </row>
    <row r="676" spans="1:12" x14ac:dyDescent="0.35">
      <c r="A676" s="16" t="s">
        <v>2255</v>
      </c>
      <c r="B676" s="17">
        <v>46197.513796296298</v>
      </c>
      <c r="C676" s="16" t="s">
        <v>241</v>
      </c>
      <c r="D676" s="16" t="s">
        <v>242</v>
      </c>
      <c r="E676" s="16" t="s">
        <v>2256</v>
      </c>
      <c r="F676" s="16" t="s">
        <v>219</v>
      </c>
      <c r="G676" s="16" t="s">
        <v>231</v>
      </c>
      <c r="H676" s="16" t="s">
        <v>277</v>
      </c>
      <c r="I676" s="16" t="s">
        <v>2257</v>
      </c>
      <c r="J676" s="16" t="s">
        <v>270</v>
      </c>
      <c r="K676" s="16" t="s">
        <v>3243</v>
      </c>
      <c r="L676" s="16" t="s">
        <v>3234</v>
      </c>
    </row>
    <row r="677" spans="1:12" x14ac:dyDescent="0.35">
      <c r="A677" s="16" t="s">
        <v>2258</v>
      </c>
      <c r="B677" s="17">
        <v>45743.676550925928</v>
      </c>
      <c r="C677" s="16" t="s">
        <v>301</v>
      </c>
      <c r="D677" s="16" t="s">
        <v>302</v>
      </c>
      <c r="E677" s="16" t="s">
        <v>2259</v>
      </c>
      <c r="F677" s="16" t="s">
        <v>69</v>
      </c>
      <c r="G677" s="16" t="s">
        <v>231</v>
      </c>
      <c r="H677" s="16" t="s">
        <v>221</v>
      </c>
      <c r="I677" s="16" t="s">
        <v>2260</v>
      </c>
      <c r="J677" s="16" t="s">
        <v>234</v>
      </c>
      <c r="K677" s="16" t="s">
        <v>3241</v>
      </c>
      <c r="L677" s="16" t="s">
        <v>3231</v>
      </c>
    </row>
    <row r="678" spans="1:12" x14ac:dyDescent="0.35">
      <c r="A678" s="16" t="s">
        <v>2261</v>
      </c>
      <c r="B678" s="17">
        <v>45861.296898148146</v>
      </c>
      <c r="C678" s="16" t="s">
        <v>241</v>
      </c>
      <c r="D678" s="16" t="s">
        <v>242</v>
      </c>
      <c r="E678" s="16" t="s">
        <v>2262</v>
      </c>
      <c r="F678" s="16" t="s">
        <v>69</v>
      </c>
      <c r="G678" s="16" t="s">
        <v>244</v>
      </c>
      <c r="H678" s="16" t="s">
        <v>273</v>
      </c>
      <c r="I678" s="16" t="s">
        <v>2263</v>
      </c>
      <c r="J678" s="16" t="s">
        <v>270</v>
      </c>
      <c r="K678" s="16" t="s">
        <v>3259</v>
      </c>
      <c r="L678" s="16" t="s">
        <v>3235</v>
      </c>
    </row>
    <row r="679" spans="1:12" x14ac:dyDescent="0.35">
      <c r="A679" s="16" t="s">
        <v>2264</v>
      </c>
      <c r="B679" s="17">
        <v>46296.482048611113</v>
      </c>
      <c r="C679" s="16" t="s">
        <v>241</v>
      </c>
      <c r="D679" s="16" t="s">
        <v>242</v>
      </c>
      <c r="E679" s="16" t="s">
        <v>2265</v>
      </c>
      <c r="F679" s="16" t="s">
        <v>219</v>
      </c>
      <c r="G679" s="16" t="s">
        <v>244</v>
      </c>
      <c r="H679" s="16" t="s">
        <v>232</v>
      </c>
      <c r="I679" s="16" t="s">
        <v>2266</v>
      </c>
      <c r="J679" s="16" t="s">
        <v>249</v>
      </c>
      <c r="K679" s="16" t="s">
        <v>3244</v>
      </c>
      <c r="L679" s="16" t="s">
        <v>3235</v>
      </c>
    </row>
    <row r="680" spans="1:12" x14ac:dyDescent="0.35">
      <c r="A680" s="16" t="s">
        <v>2267</v>
      </c>
      <c r="B680" s="17">
        <v>46049.585740740738</v>
      </c>
      <c r="C680" s="16" t="s">
        <v>260</v>
      </c>
      <c r="D680" s="16" t="s">
        <v>261</v>
      </c>
      <c r="E680" s="16" t="s">
        <v>2268</v>
      </c>
      <c r="F680" s="16" t="s">
        <v>69</v>
      </c>
      <c r="G680" s="16" t="s">
        <v>231</v>
      </c>
      <c r="H680" s="16" t="s">
        <v>277</v>
      </c>
      <c r="I680" s="16" t="s">
        <v>2269</v>
      </c>
      <c r="J680" s="16" t="s">
        <v>249</v>
      </c>
      <c r="K680" s="16" t="s">
        <v>3258</v>
      </c>
      <c r="L680" s="16" t="s">
        <v>3235</v>
      </c>
    </row>
    <row r="681" spans="1:12" x14ac:dyDescent="0.35">
      <c r="A681" s="16" t="s">
        <v>2270</v>
      </c>
      <c r="B681" s="17">
        <v>45733.673888888887</v>
      </c>
      <c r="C681" s="16" t="s">
        <v>260</v>
      </c>
      <c r="D681" s="16" t="s">
        <v>261</v>
      </c>
      <c r="E681" s="16" t="s">
        <v>2271</v>
      </c>
      <c r="F681" s="16" t="s">
        <v>237</v>
      </c>
      <c r="G681" s="16" t="s">
        <v>231</v>
      </c>
      <c r="H681" s="16" t="s">
        <v>273</v>
      </c>
      <c r="I681" s="16" t="s">
        <v>2272</v>
      </c>
      <c r="J681" s="16" t="s">
        <v>223</v>
      </c>
      <c r="K681" s="16" t="s">
        <v>3236</v>
      </c>
      <c r="L681" s="16" t="s">
        <v>3230</v>
      </c>
    </row>
    <row r="682" spans="1:12" x14ac:dyDescent="0.35">
      <c r="A682" s="16" t="s">
        <v>2273</v>
      </c>
      <c r="B682" s="17">
        <v>45468.217905092592</v>
      </c>
      <c r="C682" s="16" t="s">
        <v>260</v>
      </c>
      <c r="D682" s="16" t="s">
        <v>261</v>
      </c>
      <c r="E682" s="16" t="s">
        <v>2274</v>
      </c>
      <c r="F682" s="16" t="s">
        <v>237</v>
      </c>
      <c r="G682" s="16" t="s">
        <v>231</v>
      </c>
      <c r="H682" s="16" t="s">
        <v>277</v>
      </c>
      <c r="I682" s="16" t="s">
        <v>2275</v>
      </c>
      <c r="J682" s="16" t="s">
        <v>270</v>
      </c>
      <c r="K682" s="16" t="s">
        <v>3256</v>
      </c>
      <c r="L682" s="16" t="s">
        <v>3231</v>
      </c>
    </row>
    <row r="683" spans="1:12" x14ac:dyDescent="0.35">
      <c r="A683" s="16" t="s">
        <v>2276</v>
      </c>
      <c r="B683" s="17">
        <v>45305.621157407404</v>
      </c>
      <c r="C683" s="16" t="s">
        <v>241</v>
      </c>
      <c r="D683" s="16" t="s">
        <v>242</v>
      </c>
      <c r="E683" s="16" t="s">
        <v>2277</v>
      </c>
      <c r="F683" s="16" t="s">
        <v>237</v>
      </c>
      <c r="G683" s="16" t="s">
        <v>231</v>
      </c>
      <c r="H683" s="16" t="s">
        <v>232</v>
      </c>
      <c r="I683" s="16" t="s">
        <v>2278</v>
      </c>
      <c r="J683" s="16" t="s">
        <v>223</v>
      </c>
      <c r="K683" s="16" t="s">
        <v>3237</v>
      </c>
      <c r="L683" s="16" t="s">
        <v>3230</v>
      </c>
    </row>
    <row r="684" spans="1:12" x14ac:dyDescent="0.35">
      <c r="A684" s="16" t="s">
        <v>2279</v>
      </c>
      <c r="B684" s="17">
        <v>45672.579155092593</v>
      </c>
      <c r="C684" s="16" t="s">
        <v>241</v>
      </c>
      <c r="D684" s="16" t="s">
        <v>242</v>
      </c>
      <c r="E684" s="16" t="s">
        <v>2280</v>
      </c>
      <c r="F684" s="16" t="s">
        <v>219</v>
      </c>
      <c r="G684" s="16" t="s">
        <v>231</v>
      </c>
      <c r="H684" s="16" t="s">
        <v>277</v>
      </c>
      <c r="I684" s="16" t="s">
        <v>2281</v>
      </c>
      <c r="J684" s="16" t="s">
        <v>249</v>
      </c>
      <c r="K684" s="16" t="s">
        <v>3258</v>
      </c>
      <c r="L684" s="16" t="s">
        <v>3235</v>
      </c>
    </row>
    <row r="685" spans="1:12" x14ac:dyDescent="0.35">
      <c r="A685" s="16" t="s">
        <v>2282</v>
      </c>
      <c r="B685" s="17">
        <v>45751.040706018517</v>
      </c>
      <c r="C685" s="16" t="s">
        <v>260</v>
      </c>
      <c r="D685" s="16" t="s">
        <v>261</v>
      </c>
      <c r="E685" s="16" t="s">
        <v>2283</v>
      </c>
      <c r="F685" s="16" t="s">
        <v>69</v>
      </c>
      <c r="G685" s="16" t="s">
        <v>231</v>
      </c>
      <c r="H685" s="16" t="s">
        <v>273</v>
      </c>
      <c r="I685" s="16" t="s">
        <v>2284</v>
      </c>
      <c r="J685" s="16" t="s">
        <v>223</v>
      </c>
      <c r="K685" s="16" t="s">
        <v>3248</v>
      </c>
      <c r="L685" s="16" t="s">
        <v>3231</v>
      </c>
    </row>
    <row r="686" spans="1:12" x14ac:dyDescent="0.35">
      <c r="A686" s="16" t="s">
        <v>2285</v>
      </c>
      <c r="B686" s="17">
        <v>45659.746203703704</v>
      </c>
      <c r="C686" s="16" t="s">
        <v>216</v>
      </c>
      <c r="D686" s="16" t="s">
        <v>217</v>
      </c>
      <c r="E686" s="16" t="s">
        <v>2286</v>
      </c>
      <c r="F686" s="16" t="s">
        <v>69</v>
      </c>
      <c r="G686" s="16" t="s">
        <v>220</v>
      </c>
      <c r="H686" s="16" t="s">
        <v>238</v>
      </c>
      <c r="I686" s="16" t="s">
        <v>2287</v>
      </c>
      <c r="J686" s="16" t="s">
        <v>223</v>
      </c>
      <c r="K686" s="16" t="s">
        <v>3244</v>
      </c>
      <c r="L686" s="16" t="s">
        <v>3235</v>
      </c>
    </row>
    <row r="687" spans="1:12" x14ac:dyDescent="0.35">
      <c r="A687" s="16" t="s">
        <v>2288</v>
      </c>
      <c r="B687" s="17">
        <v>46276.857986111114</v>
      </c>
      <c r="C687" s="16" t="s">
        <v>216</v>
      </c>
      <c r="D687" s="16" t="s">
        <v>217</v>
      </c>
      <c r="E687" s="16" t="s">
        <v>2289</v>
      </c>
      <c r="F687" s="16" t="s">
        <v>237</v>
      </c>
      <c r="G687" s="16" t="s">
        <v>244</v>
      </c>
      <c r="H687" s="16" t="s">
        <v>273</v>
      </c>
      <c r="I687" s="16" t="s">
        <v>2290</v>
      </c>
      <c r="J687" s="16" t="s">
        <v>270</v>
      </c>
      <c r="K687" s="16" t="s">
        <v>3242</v>
      </c>
      <c r="L687" s="16" t="s">
        <v>3232</v>
      </c>
    </row>
    <row r="688" spans="1:12" x14ac:dyDescent="0.35">
      <c r="A688" s="16" t="s">
        <v>2291</v>
      </c>
      <c r="B688" s="17">
        <v>45327.393726851849</v>
      </c>
      <c r="C688" s="16" t="s">
        <v>301</v>
      </c>
      <c r="D688" s="16" t="s">
        <v>302</v>
      </c>
      <c r="E688" s="16" t="s">
        <v>2292</v>
      </c>
      <c r="F688" s="16" t="s">
        <v>219</v>
      </c>
      <c r="G688" s="16" t="s">
        <v>220</v>
      </c>
      <c r="H688" s="16" t="s">
        <v>273</v>
      </c>
      <c r="I688" s="16" t="s">
        <v>2293</v>
      </c>
      <c r="J688" s="16" t="s">
        <v>223</v>
      </c>
      <c r="K688" s="16" t="s">
        <v>3246</v>
      </c>
      <c r="L688" s="16" t="s">
        <v>3234</v>
      </c>
    </row>
    <row r="689" spans="1:12" x14ac:dyDescent="0.35">
      <c r="A689" s="16" t="s">
        <v>2294</v>
      </c>
      <c r="B689" s="17">
        <v>45400.413645833331</v>
      </c>
      <c r="C689" s="16" t="s">
        <v>228</v>
      </c>
      <c r="D689" s="16" t="s">
        <v>229</v>
      </c>
      <c r="E689" s="16" t="s">
        <v>2295</v>
      </c>
      <c r="F689" s="16" t="s">
        <v>237</v>
      </c>
      <c r="G689" s="16" t="s">
        <v>244</v>
      </c>
      <c r="H689" s="16" t="s">
        <v>238</v>
      </c>
      <c r="I689" s="16" t="s">
        <v>2296</v>
      </c>
      <c r="J689" s="16" t="s">
        <v>249</v>
      </c>
      <c r="K689" s="16" t="s">
        <v>3237</v>
      </c>
      <c r="L689" s="16" t="s">
        <v>3230</v>
      </c>
    </row>
    <row r="690" spans="1:12" x14ac:dyDescent="0.35">
      <c r="A690" s="16" t="s">
        <v>2297</v>
      </c>
      <c r="B690" s="17">
        <v>46344.294016203705</v>
      </c>
      <c r="C690" s="16" t="s">
        <v>301</v>
      </c>
      <c r="D690" s="16" t="s">
        <v>302</v>
      </c>
      <c r="E690" s="16" t="s">
        <v>2298</v>
      </c>
      <c r="F690" s="16" t="s">
        <v>69</v>
      </c>
      <c r="G690" s="16" t="s">
        <v>220</v>
      </c>
      <c r="H690" s="16" t="s">
        <v>273</v>
      </c>
      <c r="I690" s="16" t="s">
        <v>2299</v>
      </c>
      <c r="J690" s="16" t="s">
        <v>249</v>
      </c>
      <c r="K690" s="16" t="s">
        <v>3258</v>
      </c>
      <c r="L690" s="16" t="s">
        <v>3235</v>
      </c>
    </row>
    <row r="691" spans="1:12" x14ac:dyDescent="0.35">
      <c r="A691" s="16" t="s">
        <v>2300</v>
      </c>
      <c r="B691" s="17">
        <v>46034.145381944443</v>
      </c>
      <c r="C691" s="16" t="s">
        <v>301</v>
      </c>
      <c r="D691" s="16" t="s">
        <v>302</v>
      </c>
      <c r="E691" s="16" t="s">
        <v>2301</v>
      </c>
      <c r="F691" s="16" t="s">
        <v>219</v>
      </c>
      <c r="G691" s="16" t="s">
        <v>231</v>
      </c>
      <c r="H691" s="16" t="s">
        <v>238</v>
      </c>
      <c r="I691" s="16" t="s">
        <v>2302</v>
      </c>
      <c r="J691" s="16" t="s">
        <v>234</v>
      </c>
      <c r="K691" s="16" t="s">
        <v>3237</v>
      </c>
      <c r="L691" s="16" t="s">
        <v>3230</v>
      </c>
    </row>
    <row r="692" spans="1:12" x14ac:dyDescent="0.35">
      <c r="A692" s="16" t="s">
        <v>2303</v>
      </c>
      <c r="B692" s="17">
        <v>46285.625</v>
      </c>
      <c r="C692" s="16" t="s">
        <v>241</v>
      </c>
      <c r="D692" s="16" t="s">
        <v>242</v>
      </c>
      <c r="E692" s="16" t="s">
        <v>2304</v>
      </c>
      <c r="F692" s="16" t="s">
        <v>69</v>
      </c>
      <c r="G692" s="16" t="s">
        <v>220</v>
      </c>
      <c r="H692" s="16" t="s">
        <v>238</v>
      </c>
      <c r="I692" s="16" t="s">
        <v>2305</v>
      </c>
      <c r="J692" s="16" t="s">
        <v>234</v>
      </c>
      <c r="K692" s="16" t="s">
        <v>3255</v>
      </c>
      <c r="L692" s="16" t="s">
        <v>3235</v>
      </c>
    </row>
    <row r="693" spans="1:12" x14ac:dyDescent="0.35">
      <c r="A693" s="16" t="s">
        <v>2306</v>
      </c>
      <c r="B693" s="17">
        <v>46368.807199074072</v>
      </c>
      <c r="C693" s="16" t="s">
        <v>228</v>
      </c>
      <c r="D693" s="16" t="s">
        <v>229</v>
      </c>
      <c r="E693" s="16" t="s">
        <v>2307</v>
      </c>
      <c r="F693" s="16" t="s">
        <v>219</v>
      </c>
      <c r="G693" s="16" t="s">
        <v>220</v>
      </c>
      <c r="H693" s="16" t="s">
        <v>273</v>
      </c>
      <c r="I693" s="16" t="s">
        <v>2308</v>
      </c>
      <c r="J693" s="16" t="s">
        <v>270</v>
      </c>
      <c r="K693" s="16" t="s">
        <v>3247</v>
      </c>
      <c r="L693" s="16" t="s">
        <v>3234</v>
      </c>
    </row>
    <row r="694" spans="1:12" x14ac:dyDescent="0.35">
      <c r="A694" s="16" t="s">
        <v>2309</v>
      </c>
      <c r="B694" s="17">
        <v>46274.528240740743</v>
      </c>
      <c r="C694" s="16" t="s">
        <v>216</v>
      </c>
      <c r="D694" s="16" t="s">
        <v>217</v>
      </c>
      <c r="E694" s="16" t="s">
        <v>2310</v>
      </c>
      <c r="F694" s="16" t="s">
        <v>219</v>
      </c>
      <c r="G694" s="16" t="s">
        <v>231</v>
      </c>
      <c r="H694" s="16" t="s">
        <v>277</v>
      </c>
      <c r="I694" s="16" t="s">
        <v>2311</v>
      </c>
      <c r="J694" s="16" t="s">
        <v>249</v>
      </c>
      <c r="K694" s="16" t="s">
        <v>3244</v>
      </c>
      <c r="L694" s="16" t="s">
        <v>3235</v>
      </c>
    </row>
    <row r="695" spans="1:12" x14ac:dyDescent="0.35">
      <c r="A695" s="16" t="s">
        <v>2312</v>
      </c>
      <c r="B695" s="17">
        <v>45534.337314814817</v>
      </c>
      <c r="C695" s="16" t="s">
        <v>228</v>
      </c>
      <c r="D695" s="16" t="s">
        <v>229</v>
      </c>
      <c r="E695" s="16" t="s">
        <v>2313</v>
      </c>
      <c r="F695" s="16" t="s">
        <v>219</v>
      </c>
      <c r="G695" s="16" t="s">
        <v>220</v>
      </c>
      <c r="H695" s="16" t="s">
        <v>238</v>
      </c>
      <c r="I695" s="16" t="s">
        <v>2314</v>
      </c>
      <c r="J695" s="16" t="s">
        <v>234</v>
      </c>
      <c r="K695" s="16" t="s">
        <v>3259</v>
      </c>
      <c r="L695" s="16" t="s">
        <v>3235</v>
      </c>
    </row>
    <row r="696" spans="1:12" x14ac:dyDescent="0.35">
      <c r="A696" s="16" t="s">
        <v>2315</v>
      </c>
      <c r="B696" s="17">
        <v>46162.169479166667</v>
      </c>
      <c r="C696" s="16" t="s">
        <v>228</v>
      </c>
      <c r="D696" s="16" t="s">
        <v>229</v>
      </c>
      <c r="E696" s="16" t="s">
        <v>2316</v>
      </c>
      <c r="F696" s="16" t="s">
        <v>69</v>
      </c>
      <c r="G696" s="16" t="s">
        <v>231</v>
      </c>
      <c r="H696" s="16" t="s">
        <v>277</v>
      </c>
      <c r="I696" s="16" t="s">
        <v>2317</v>
      </c>
      <c r="J696" s="16" t="s">
        <v>234</v>
      </c>
      <c r="K696" s="16" t="s">
        <v>3258</v>
      </c>
      <c r="L696" s="16" t="s">
        <v>3235</v>
      </c>
    </row>
    <row r="697" spans="1:12" x14ac:dyDescent="0.35">
      <c r="A697" s="16" t="s">
        <v>2318</v>
      </c>
      <c r="B697" s="17">
        <v>45413.711608796293</v>
      </c>
      <c r="C697" s="16" t="s">
        <v>216</v>
      </c>
      <c r="D697" s="16" t="s">
        <v>217</v>
      </c>
      <c r="E697" s="16" t="s">
        <v>2319</v>
      </c>
      <c r="F697" s="16" t="s">
        <v>237</v>
      </c>
      <c r="G697" s="16" t="s">
        <v>220</v>
      </c>
      <c r="H697" s="16" t="s">
        <v>221</v>
      </c>
      <c r="I697" s="16" t="s">
        <v>2320</v>
      </c>
      <c r="J697" s="16" t="s">
        <v>270</v>
      </c>
      <c r="K697" s="16" t="s">
        <v>3238</v>
      </c>
      <c r="L697" s="16" t="s">
        <v>3230</v>
      </c>
    </row>
    <row r="698" spans="1:12" x14ac:dyDescent="0.35">
      <c r="A698" s="16" t="s">
        <v>2321</v>
      </c>
      <c r="B698" s="17">
        <v>45712.891412037039</v>
      </c>
      <c r="C698" s="16" t="s">
        <v>216</v>
      </c>
      <c r="D698" s="16" t="s">
        <v>217</v>
      </c>
      <c r="E698" s="16" t="s">
        <v>2322</v>
      </c>
      <c r="F698" s="16" t="s">
        <v>69</v>
      </c>
      <c r="G698" s="16" t="s">
        <v>244</v>
      </c>
      <c r="H698" s="16" t="s">
        <v>221</v>
      </c>
      <c r="I698" s="16" t="s">
        <v>2323</v>
      </c>
      <c r="J698" s="16" t="s">
        <v>270</v>
      </c>
      <c r="K698" s="16" t="s">
        <v>3250</v>
      </c>
      <c r="L698" s="16" t="s">
        <v>3231</v>
      </c>
    </row>
    <row r="699" spans="1:12" x14ac:dyDescent="0.35">
      <c r="A699" s="16" t="s">
        <v>2324</v>
      </c>
      <c r="B699" s="17">
        <v>46004.53429398148</v>
      </c>
      <c r="C699" s="16" t="s">
        <v>228</v>
      </c>
      <c r="D699" s="16" t="s">
        <v>229</v>
      </c>
      <c r="E699" s="16" t="s">
        <v>2325</v>
      </c>
      <c r="F699" s="16" t="s">
        <v>219</v>
      </c>
      <c r="G699" s="16" t="s">
        <v>244</v>
      </c>
      <c r="H699" s="16" t="s">
        <v>238</v>
      </c>
      <c r="I699" s="16" t="s">
        <v>2326</v>
      </c>
      <c r="J699" s="16" t="s">
        <v>270</v>
      </c>
      <c r="K699" s="16" t="s">
        <v>3250</v>
      </c>
      <c r="L699" s="16" t="s">
        <v>3231</v>
      </c>
    </row>
    <row r="700" spans="1:12" x14ac:dyDescent="0.35">
      <c r="A700" s="16" t="s">
        <v>2327</v>
      </c>
      <c r="B700" s="17">
        <v>46375.329189814816</v>
      </c>
      <c r="C700" s="16" t="s">
        <v>216</v>
      </c>
      <c r="D700" s="16" t="s">
        <v>217</v>
      </c>
      <c r="E700" s="16" t="s">
        <v>2328</v>
      </c>
      <c r="F700" s="16" t="s">
        <v>237</v>
      </c>
      <c r="G700" s="16" t="s">
        <v>220</v>
      </c>
      <c r="H700" s="16" t="s">
        <v>273</v>
      </c>
      <c r="I700" s="16" t="s">
        <v>2329</v>
      </c>
      <c r="J700" s="16" t="s">
        <v>270</v>
      </c>
      <c r="K700" s="16" t="s">
        <v>3238</v>
      </c>
      <c r="L700" s="16" t="s">
        <v>3230</v>
      </c>
    </row>
    <row r="701" spans="1:12" x14ac:dyDescent="0.35">
      <c r="A701" s="16" t="s">
        <v>2330</v>
      </c>
      <c r="B701" s="17">
        <v>46042.894108796296</v>
      </c>
      <c r="C701" s="16" t="s">
        <v>228</v>
      </c>
      <c r="D701" s="16" t="s">
        <v>229</v>
      </c>
      <c r="E701" s="16" t="s">
        <v>2331</v>
      </c>
      <c r="F701" s="16" t="s">
        <v>237</v>
      </c>
      <c r="G701" s="16" t="s">
        <v>244</v>
      </c>
      <c r="H701" s="16" t="s">
        <v>273</v>
      </c>
      <c r="I701" s="16" t="s">
        <v>2332</v>
      </c>
      <c r="J701" s="16" t="s">
        <v>249</v>
      </c>
      <c r="K701" s="16" t="s">
        <v>3245</v>
      </c>
      <c r="L701" s="16" t="s">
        <v>3232</v>
      </c>
    </row>
    <row r="702" spans="1:12" x14ac:dyDescent="0.35">
      <c r="A702" s="16" t="s">
        <v>2333</v>
      </c>
      <c r="B702" s="17">
        <v>46345.345196759263</v>
      </c>
      <c r="C702" s="16" t="s">
        <v>260</v>
      </c>
      <c r="D702" s="16" t="s">
        <v>261</v>
      </c>
      <c r="E702" s="16" t="s">
        <v>2334</v>
      </c>
      <c r="F702" s="16" t="s">
        <v>69</v>
      </c>
      <c r="G702" s="16" t="s">
        <v>231</v>
      </c>
      <c r="H702" s="16" t="s">
        <v>232</v>
      </c>
      <c r="I702" s="16" t="s">
        <v>2335</v>
      </c>
      <c r="J702" s="16" t="s">
        <v>270</v>
      </c>
      <c r="K702" s="16" t="s">
        <v>3243</v>
      </c>
      <c r="L702" s="16" t="s">
        <v>3234</v>
      </c>
    </row>
    <row r="703" spans="1:12" x14ac:dyDescent="0.35">
      <c r="A703" s="16" t="s">
        <v>2336</v>
      </c>
      <c r="B703" s="17">
        <v>46031.437314814815</v>
      </c>
      <c r="C703" s="16" t="s">
        <v>241</v>
      </c>
      <c r="D703" s="16" t="s">
        <v>242</v>
      </c>
      <c r="E703" s="16" t="s">
        <v>2337</v>
      </c>
      <c r="F703" s="16" t="s">
        <v>219</v>
      </c>
      <c r="G703" s="16" t="s">
        <v>220</v>
      </c>
      <c r="H703" s="16" t="s">
        <v>277</v>
      </c>
      <c r="I703" s="16" t="s">
        <v>2338</v>
      </c>
      <c r="J703" s="16" t="s">
        <v>223</v>
      </c>
      <c r="K703" s="16" t="s">
        <v>3252</v>
      </c>
      <c r="L703" s="16" t="s">
        <v>3232</v>
      </c>
    </row>
    <row r="704" spans="1:12" x14ac:dyDescent="0.35">
      <c r="A704" s="16" t="s">
        <v>2339</v>
      </c>
      <c r="B704" s="17">
        <v>46227.910810185182</v>
      </c>
      <c r="C704" s="16" t="s">
        <v>216</v>
      </c>
      <c r="D704" s="16" t="s">
        <v>217</v>
      </c>
      <c r="E704" s="16" t="s">
        <v>2340</v>
      </c>
      <c r="F704" s="16" t="s">
        <v>219</v>
      </c>
      <c r="G704" s="16" t="s">
        <v>231</v>
      </c>
      <c r="H704" s="16" t="s">
        <v>232</v>
      </c>
      <c r="I704" s="16" t="s">
        <v>2341</v>
      </c>
      <c r="J704" s="16" t="s">
        <v>223</v>
      </c>
      <c r="K704" s="16" t="s">
        <v>3233</v>
      </c>
      <c r="L704" s="16" t="s">
        <v>3230</v>
      </c>
    </row>
    <row r="705" spans="1:12" x14ac:dyDescent="0.35">
      <c r="A705" s="16" t="s">
        <v>2342</v>
      </c>
      <c r="B705" s="17">
        <v>45434.721608796295</v>
      </c>
      <c r="C705" s="16" t="s">
        <v>301</v>
      </c>
      <c r="D705" s="16" t="s">
        <v>302</v>
      </c>
      <c r="E705" s="16" t="s">
        <v>2343</v>
      </c>
      <c r="F705" s="16" t="s">
        <v>237</v>
      </c>
      <c r="G705" s="16" t="s">
        <v>220</v>
      </c>
      <c r="H705" s="16" t="s">
        <v>232</v>
      </c>
      <c r="I705" s="16" t="s">
        <v>2344</v>
      </c>
      <c r="J705" s="16" t="s">
        <v>223</v>
      </c>
      <c r="K705" s="16" t="s">
        <v>3249</v>
      </c>
      <c r="L705" s="16" t="s">
        <v>3232</v>
      </c>
    </row>
    <row r="706" spans="1:12" x14ac:dyDescent="0.35">
      <c r="A706" s="16" t="s">
        <v>2345</v>
      </c>
      <c r="B706" s="17">
        <v>46362.999039351853</v>
      </c>
      <c r="C706" s="16" t="s">
        <v>216</v>
      </c>
      <c r="D706" s="16" t="s">
        <v>217</v>
      </c>
      <c r="E706" s="16" t="s">
        <v>2346</v>
      </c>
      <c r="F706" s="16" t="s">
        <v>69</v>
      </c>
      <c r="G706" s="16" t="s">
        <v>220</v>
      </c>
      <c r="H706" s="16" t="s">
        <v>232</v>
      </c>
      <c r="I706" s="16" t="s">
        <v>2347</v>
      </c>
      <c r="J706" s="16" t="s">
        <v>223</v>
      </c>
      <c r="K706" s="16" t="s">
        <v>3257</v>
      </c>
      <c r="L706" s="16" t="s">
        <v>3234</v>
      </c>
    </row>
    <row r="707" spans="1:12" x14ac:dyDescent="0.35">
      <c r="A707" s="16" t="s">
        <v>2348</v>
      </c>
      <c r="B707" s="17">
        <v>45424.551759259259</v>
      </c>
      <c r="C707" s="16" t="s">
        <v>241</v>
      </c>
      <c r="D707" s="16" t="s">
        <v>242</v>
      </c>
      <c r="E707" s="16" t="s">
        <v>2349</v>
      </c>
      <c r="F707" s="16" t="s">
        <v>237</v>
      </c>
      <c r="G707" s="16" t="s">
        <v>220</v>
      </c>
      <c r="H707" s="16" t="s">
        <v>221</v>
      </c>
      <c r="I707" s="16" t="s">
        <v>2350</v>
      </c>
      <c r="J707" s="16" t="s">
        <v>234</v>
      </c>
      <c r="K707" s="16" t="s">
        <v>3241</v>
      </c>
      <c r="L707" s="16" t="s">
        <v>3231</v>
      </c>
    </row>
    <row r="708" spans="1:12" x14ac:dyDescent="0.35">
      <c r="A708" s="16" t="s">
        <v>2351</v>
      </c>
      <c r="B708" s="17">
        <v>45851.976712962962</v>
      </c>
      <c r="C708" s="16" t="s">
        <v>260</v>
      </c>
      <c r="D708" s="16" t="s">
        <v>261</v>
      </c>
      <c r="E708" s="16" t="s">
        <v>2352</v>
      </c>
      <c r="F708" s="16" t="s">
        <v>237</v>
      </c>
      <c r="G708" s="16" t="s">
        <v>231</v>
      </c>
      <c r="H708" s="16" t="s">
        <v>232</v>
      </c>
      <c r="I708" s="16" t="s">
        <v>2353</v>
      </c>
      <c r="J708" s="16" t="s">
        <v>249</v>
      </c>
      <c r="K708" s="16" t="s">
        <v>3250</v>
      </c>
      <c r="L708" s="16" t="s">
        <v>3231</v>
      </c>
    </row>
    <row r="709" spans="1:12" x14ac:dyDescent="0.35">
      <c r="A709" s="16" t="s">
        <v>2354</v>
      </c>
      <c r="B709" s="17">
        <v>45542.380300925928</v>
      </c>
      <c r="C709" s="16" t="s">
        <v>228</v>
      </c>
      <c r="D709" s="16" t="s">
        <v>229</v>
      </c>
      <c r="E709" s="16" t="s">
        <v>2355</v>
      </c>
      <c r="F709" s="16" t="s">
        <v>237</v>
      </c>
      <c r="G709" s="16" t="s">
        <v>220</v>
      </c>
      <c r="H709" s="16" t="s">
        <v>232</v>
      </c>
      <c r="I709" s="16" t="s">
        <v>2356</v>
      </c>
      <c r="J709" s="16" t="s">
        <v>270</v>
      </c>
      <c r="K709" s="16" t="s">
        <v>3251</v>
      </c>
      <c r="L709" s="16" t="s">
        <v>3231</v>
      </c>
    </row>
    <row r="710" spans="1:12" x14ac:dyDescent="0.35">
      <c r="A710" s="16" t="s">
        <v>2357</v>
      </c>
      <c r="B710" s="17">
        <v>45346.271689814814</v>
      </c>
      <c r="C710" s="16" t="s">
        <v>216</v>
      </c>
      <c r="D710" s="16" t="s">
        <v>217</v>
      </c>
      <c r="E710" s="16" t="s">
        <v>2358</v>
      </c>
      <c r="F710" s="16" t="s">
        <v>219</v>
      </c>
      <c r="G710" s="16" t="s">
        <v>244</v>
      </c>
      <c r="H710" s="16" t="s">
        <v>221</v>
      </c>
      <c r="I710" s="16" t="s">
        <v>2359</v>
      </c>
      <c r="J710" s="16" t="s">
        <v>249</v>
      </c>
      <c r="K710" s="16" t="s">
        <v>3259</v>
      </c>
      <c r="L710" s="16" t="s">
        <v>3235</v>
      </c>
    </row>
    <row r="711" spans="1:12" x14ac:dyDescent="0.35">
      <c r="A711" s="16" t="s">
        <v>2360</v>
      </c>
      <c r="B711" s="17">
        <v>45448.788773148146</v>
      </c>
      <c r="C711" s="16" t="s">
        <v>241</v>
      </c>
      <c r="D711" s="16" t="s">
        <v>242</v>
      </c>
      <c r="E711" s="16" t="s">
        <v>2361</v>
      </c>
      <c r="F711" s="16" t="s">
        <v>237</v>
      </c>
      <c r="G711" s="16" t="s">
        <v>220</v>
      </c>
      <c r="H711" s="16" t="s">
        <v>273</v>
      </c>
      <c r="I711" s="16" t="s">
        <v>2362</v>
      </c>
      <c r="J711" s="16" t="s">
        <v>223</v>
      </c>
      <c r="K711" s="16" t="s">
        <v>3238</v>
      </c>
      <c r="L711" s="16" t="s">
        <v>3230</v>
      </c>
    </row>
    <row r="712" spans="1:12" x14ac:dyDescent="0.35">
      <c r="A712" s="16" t="s">
        <v>2363</v>
      </c>
      <c r="B712" s="17">
        <v>45995.82</v>
      </c>
      <c r="C712" s="16" t="s">
        <v>260</v>
      </c>
      <c r="D712" s="16" t="s">
        <v>261</v>
      </c>
      <c r="E712" s="16" t="s">
        <v>2364</v>
      </c>
      <c r="F712" s="16" t="s">
        <v>69</v>
      </c>
      <c r="G712" s="16" t="s">
        <v>220</v>
      </c>
      <c r="H712" s="16" t="s">
        <v>273</v>
      </c>
      <c r="I712" s="16" t="s">
        <v>2365</v>
      </c>
      <c r="J712" s="16" t="s">
        <v>223</v>
      </c>
      <c r="K712" s="16" t="s">
        <v>3245</v>
      </c>
      <c r="L712" s="16" t="s">
        <v>3232</v>
      </c>
    </row>
    <row r="713" spans="1:12" x14ac:dyDescent="0.35">
      <c r="A713" s="16" t="s">
        <v>2366</v>
      </c>
      <c r="B713" s="17">
        <v>46198.697314814817</v>
      </c>
      <c r="C713" s="16" t="s">
        <v>260</v>
      </c>
      <c r="D713" s="16" t="s">
        <v>261</v>
      </c>
      <c r="E713" s="16" t="s">
        <v>2367</v>
      </c>
      <c r="F713" s="16" t="s">
        <v>69</v>
      </c>
      <c r="G713" s="16" t="s">
        <v>220</v>
      </c>
      <c r="H713" s="16" t="s">
        <v>238</v>
      </c>
      <c r="I713" s="16" t="s">
        <v>2368</v>
      </c>
      <c r="J713" s="16" t="s">
        <v>234</v>
      </c>
      <c r="K713" s="16" t="s">
        <v>3229</v>
      </c>
      <c r="L713" s="16" t="s">
        <v>3230</v>
      </c>
    </row>
    <row r="714" spans="1:12" x14ac:dyDescent="0.35">
      <c r="A714" s="16" t="s">
        <v>2369</v>
      </c>
      <c r="B714" s="17">
        <v>45931.590243055558</v>
      </c>
      <c r="C714" s="16" t="s">
        <v>260</v>
      </c>
      <c r="D714" s="16" t="s">
        <v>261</v>
      </c>
      <c r="E714" s="16" t="s">
        <v>2370</v>
      </c>
      <c r="F714" s="16" t="s">
        <v>69</v>
      </c>
      <c r="G714" s="16" t="s">
        <v>244</v>
      </c>
      <c r="H714" s="16" t="s">
        <v>232</v>
      </c>
      <c r="I714" s="16" t="s">
        <v>2371</v>
      </c>
      <c r="J714" s="16" t="s">
        <v>223</v>
      </c>
      <c r="K714" s="16" t="s">
        <v>3256</v>
      </c>
      <c r="L714" s="16" t="s">
        <v>3231</v>
      </c>
    </row>
    <row r="715" spans="1:12" x14ac:dyDescent="0.35">
      <c r="A715" s="16" t="s">
        <v>2372</v>
      </c>
      <c r="B715" s="17">
        <v>46329.084548611114</v>
      </c>
      <c r="C715" s="16" t="s">
        <v>260</v>
      </c>
      <c r="D715" s="16" t="s">
        <v>261</v>
      </c>
      <c r="E715" s="16" t="s">
        <v>2373</v>
      </c>
      <c r="F715" s="16" t="s">
        <v>237</v>
      </c>
      <c r="G715" s="16" t="s">
        <v>231</v>
      </c>
      <c r="H715" s="16" t="s">
        <v>273</v>
      </c>
      <c r="I715" s="16" t="s">
        <v>2374</v>
      </c>
      <c r="J715" s="16" t="s">
        <v>249</v>
      </c>
      <c r="K715" s="16" t="s">
        <v>3257</v>
      </c>
      <c r="L715" s="16" t="s">
        <v>3234</v>
      </c>
    </row>
    <row r="716" spans="1:12" x14ac:dyDescent="0.35">
      <c r="A716" s="16" t="s">
        <v>2375</v>
      </c>
      <c r="B716" s="17">
        <v>45349.895752314813</v>
      </c>
      <c r="C716" s="16" t="s">
        <v>301</v>
      </c>
      <c r="D716" s="16" t="s">
        <v>302</v>
      </c>
      <c r="E716" s="16" t="s">
        <v>2376</v>
      </c>
      <c r="F716" s="16" t="s">
        <v>69</v>
      </c>
      <c r="G716" s="16" t="s">
        <v>231</v>
      </c>
      <c r="H716" s="16" t="s">
        <v>238</v>
      </c>
      <c r="I716" s="16" t="s">
        <v>2377</v>
      </c>
      <c r="J716" s="16" t="s">
        <v>270</v>
      </c>
      <c r="K716" s="16" t="s">
        <v>3239</v>
      </c>
      <c r="L716" s="16" t="s">
        <v>3235</v>
      </c>
    </row>
    <row r="717" spans="1:12" x14ac:dyDescent="0.35">
      <c r="A717" s="16" t="s">
        <v>2378</v>
      </c>
      <c r="B717" s="17">
        <v>46168.523587962962</v>
      </c>
      <c r="C717" s="16" t="s">
        <v>301</v>
      </c>
      <c r="D717" s="16" t="s">
        <v>302</v>
      </c>
      <c r="E717" s="16" t="s">
        <v>2379</v>
      </c>
      <c r="F717" s="16" t="s">
        <v>237</v>
      </c>
      <c r="G717" s="16" t="s">
        <v>231</v>
      </c>
      <c r="H717" s="16" t="s">
        <v>232</v>
      </c>
      <c r="I717" s="16" t="s">
        <v>2380</v>
      </c>
      <c r="J717" s="16" t="s">
        <v>234</v>
      </c>
      <c r="K717" s="16" t="s">
        <v>3253</v>
      </c>
      <c r="L717" s="16" t="s">
        <v>3234</v>
      </c>
    </row>
    <row r="718" spans="1:12" x14ac:dyDescent="0.35">
      <c r="A718" s="16" t="s">
        <v>2381</v>
      </c>
      <c r="B718" s="17">
        <v>45465.099363425928</v>
      </c>
      <c r="C718" s="16" t="s">
        <v>228</v>
      </c>
      <c r="D718" s="16" t="s">
        <v>229</v>
      </c>
      <c r="E718" s="16" t="s">
        <v>2382</v>
      </c>
      <c r="F718" s="16" t="s">
        <v>69</v>
      </c>
      <c r="G718" s="16" t="s">
        <v>231</v>
      </c>
      <c r="H718" s="16" t="s">
        <v>277</v>
      </c>
      <c r="I718" s="16" t="s">
        <v>2383</v>
      </c>
      <c r="J718" s="16" t="s">
        <v>249</v>
      </c>
      <c r="K718" s="16" t="s">
        <v>3245</v>
      </c>
      <c r="L718" s="16" t="s">
        <v>3232</v>
      </c>
    </row>
    <row r="719" spans="1:12" x14ac:dyDescent="0.35">
      <c r="A719" s="16" t="s">
        <v>2384</v>
      </c>
      <c r="B719" s="17">
        <v>46346.638923611114</v>
      </c>
      <c r="C719" s="16" t="s">
        <v>216</v>
      </c>
      <c r="D719" s="16" t="s">
        <v>217</v>
      </c>
      <c r="E719" s="16" t="s">
        <v>2385</v>
      </c>
      <c r="F719" s="16" t="s">
        <v>69</v>
      </c>
      <c r="G719" s="16" t="s">
        <v>244</v>
      </c>
      <c r="H719" s="16" t="s">
        <v>232</v>
      </c>
      <c r="I719" s="16" t="s">
        <v>2386</v>
      </c>
      <c r="J719" s="16" t="s">
        <v>270</v>
      </c>
      <c r="K719" s="16" t="s">
        <v>3237</v>
      </c>
      <c r="L719" s="16" t="s">
        <v>3230</v>
      </c>
    </row>
    <row r="720" spans="1:12" x14ac:dyDescent="0.35">
      <c r="A720" s="16" t="s">
        <v>2387</v>
      </c>
      <c r="B720" s="17">
        <v>46091.489120370374</v>
      </c>
      <c r="C720" s="16" t="s">
        <v>301</v>
      </c>
      <c r="D720" s="16" t="s">
        <v>302</v>
      </c>
      <c r="E720" s="16" t="s">
        <v>2388</v>
      </c>
      <c r="F720" s="16" t="s">
        <v>69</v>
      </c>
      <c r="G720" s="16" t="s">
        <v>231</v>
      </c>
      <c r="H720" s="16" t="s">
        <v>232</v>
      </c>
      <c r="I720" s="16" t="s">
        <v>2389</v>
      </c>
      <c r="J720" s="16" t="s">
        <v>234</v>
      </c>
      <c r="K720" s="16" t="s">
        <v>3243</v>
      </c>
      <c r="L720" s="16" t="s">
        <v>3234</v>
      </c>
    </row>
    <row r="721" spans="1:12" x14ac:dyDescent="0.35">
      <c r="A721" s="16" t="s">
        <v>2390</v>
      </c>
      <c r="B721" s="17">
        <v>45987.25277777778</v>
      </c>
      <c r="C721" s="16" t="s">
        <v>301</v>
      </c>
      <c r="D721" s="16" t="s">
        <v>302</v>
      </c>
      <c r="E721" s="16" t="s">
        <v>2391</v>
      </c>
      <c r="F721" s="16" t="s">
        <v>237</v>
      </c>
      <c r="G721" s="16" t="s">
        <v>231</v>
      </c>
      <c r="H721" s="16" t="s">
        <v>232</v>
      </c>
      <c r="I721" s="16" t="s">
        <v>2392</v>
      </c>
      <c r="J721" s="16" t="s">
        <v>223</v>
      </c>
      <c r="K721" s="16" t="s">
        <v>3251</v>
      </c>
      <c r="L721" s="16" t="s">
        <v>3231</v>
      </c>
    </row>
    <row r="722" spans="1:12" x14ac:dyDescent="0.35">
      <c r="A722" s="16" t="s">
        <v>2393</v>
      </c>
      <c r="B722" s="17">
        <v>45880.402245370373</v>
      </c>
      <c r="C722" s="16" t="s">
        <v>216</v>
      </c>
      <c r="D722" s="16" t="s">
        <v>217</v>
      </c>
      <c r="E722" s="16" t="s">
        <v>2394</v>
      </c>
      <c r="F722" s="16" t="s">
        <v>237</v>
      </c>
      <c r="G722" s="16" t="s">
        <v>244</v>
      </c>
      <c r="H722" s="16" t="s">
        <v>273</v>
      </c>
      <c r="I722" s="16" t="s">
        <v>2395</v>
      </c>
      <c r="J722" s="16" t="s">
        <v>270</v>
      </c>
      <c r="K722" s="16" t="s">
        <v>3247</v>
      </c>
      <c r="L722" s="16" t="s">
        <v>3234</v>
      </c>
    </row>
    <row r="723" spans="1:12" x14ac:dyDescent="0.35">
      <c r="A723" s="16" t="s">
        <v>2396</v>
      </c>
      <c r="B723" s="17">
        <v>45981.414699074077</v>
      </c>
      <c r="C723" s="16" t="s">
        <v>241</v>
      </c>
      <c r="D723" s="16" t="s">
        <v>242</v>
      </c>
      <c r="E723" s="16" t="s">
        <v>2397</v>
      </c>
      <c r="F723" s="16" t="s">
        <v>219</v>
      </c>
      <c r="G723" s="16" t="s">
        <v>244</v>
      </c>
      <c r="H723" s="16" t="s">
        <v>221</v>
      </c>
      <c r="I723" s="16" t="s">
        <v>2398</v>
      </c>
      <c r="J723" s="16" t="s">
        <v>234</v>
      </c>
      <c r="K723" s="16" t="s">
        <v>3248</v>
      </c>
      <c r="L723" s="16" t="s">
        <v>3231</v>
      </c>
    </row>
    <row r="724" spans="1:12" x14ac:dyDescent="0.35">
      <c r="A724" s="16" t="s">
        <v>2399</v>
      </c>
      <c r="B724" s="17">
        <v>46325.454965277779</v>
      </c>
      <c r="C724" s="16" t="s">
        <v>301</v>
      </c>
      <c r="D724" s="16" t="s">
        <v>302</v>
      </c>
      <c r="E724" s="16" t="s">
        <v>2400</v>
      </c>
      <c r="F724" s="16" t="s">
        <v>219</v>
      </c>
      <c r="G724" s="16" t="s">
        <v>244</v>
      </c>
      <c r="H724" s="16" t="s">
        <v>221</v>
      </c>
      <c r="I724" s="16" t="s">
        <v>2401</v>
      </c>
      <c r="J724" s="16" t="s">
        <v>223</v>
      </c>
      <c r="K724" s="16" t="s">
        <v>3249</v>
      </c>
      <c r="L724" s="16" t="s">
        <v>3232</v>
      </c>
    </row>
    <row r="725" spans="1:12" x14ac:dyDescent="0.35">
      <c r="A725" s="16" t="s">
        <v>2402</v>
      </c>
      <c r="B725" s="17">
        <v>46347.687557870369</v>
      </c>
      <c r="C725" s="16" t="s">
        <v>260</v>
      </c>
      <c r="D725" s="16" t="s">
        <v>261</v>
      </c>
      <c r="E725" s="16" t="s">
        <v>2403</v>
      </c>
      <c r="F725" s="16" t="s">
        <v>219</v>
      </c>
      <c r="G725" s="16" t="s">
        <v>220</v>
      </c>
      <c r="H725" s="16" t="s">
        <v>238</v>
      </c>
      <c r="I725" s="16" t="s">
        <v>2404</v>
      </c>
      <c r="J725" s="16" t="s">
        <v>234</v>
      </c>
      <c r="K725" s="16" t="s">
        <v>3259</v>
      </c>
      <c r="L725" s="16" t="s">
        <v>3235</v>
      </c>
    </row>
    <row r="726" spans="1:12" x14ac:dyDescent="0.35">
      <c r="A726" s="16" t="s">
        <v>2405</v>
      </c>
      <c r="B726" s="17">
        <v>46249.406458333331</v>
      </c>
      <c r="C726" s="16" t="s">
        <v>241</v>
      </c>
      <c r="D726" s="16" t="s">
        <v>242</v>
      </c>
      <c r="E726" s="16" t="s">
        <v>2406</v>
      </c>
      <c r="F726" s="16" t="s">
        <v>219</v>
      </c>
      <c r="G726" s="16" t="s">
        <v>244</v>
      </c>
      <c r="H726" s="16" t="s">
        <v>232</v>
      </c>
      <c r="I726" s="16" t="s">
        <v>2407</v>
      </c>
      <c r="J726" s="16" t="s">
        <v>270</v>
      </c>
      <c r="K726" s="16" t="s">
        <v>3238</v>
      </c>
      <c r="L726" s="16" t="s">
        <v>3230</v>
      </c>
    </row>
    <row r="727" spans="1:12" x14ac:dyDescent="0.35">
      <c r="A727" s="16" t="s">
        <v>2408</v>
      </c>
      <c r="B727" s="17">
        <v>46239.224131944444</v>
      </c>
      <c r="C727" s="16" t="s">
        <v>241</v>
      </c>
      <c r="D727" s="16" t="s">
        <v>242</v>
      </c>
      <c r="E727" s="16" t="s">
        <v>2409</v>
      </c>
      <c r="F727" s="16" t="s">
        <v>69</v>
      </c>
      <c r="G727" s="16" t="s">
        <v>244</v>
      </c>
      <c r="H727" s="16" t="s">
        <v>277</v>
      </c>
      <c r="I727" s="16" t="s">
        <v>2410</v>
      </c>
      <c r="J727" s="16" t="s">
        <v>223</v>
      </c>
      <c r="K727" s="16" t="s">
        <v>3241</v>
      </c>
      <c r="L727" s="16" t="s">
        <v>3231</v>
      </c>
    </row>
    <row r="728" spans="1:12" x14ac:dyDescent="0.35">
      <c r="A728" s="16" t="s">
        <v>2411</v>
      </c>
      <c r="B728" s="17">
        <v>46136.404942129629</v>
      </c>
      <c r="C728" s="16" t="s">
        <v>301</v>
      </c>
      <c r="D728" s="16" t="s">
        <v>302</v>
      </c>
      <c r="E728" s="16" t="s">
        <v>2412</v>
      </c>
      <c r="F728" s="16" t="s">
        <v>219</v>
      </c>
      <c r="G728" s="16" t="s">
        <v>220</v>
      </c>
      <c r="H728" s="16" t="s">
        <v>221</v>
      </c>
      <c r="I728" s="16" t="s">
        <v>2413</v>
      </c>
      <c r="J728" s="16" t="s">
        <v>234</v>
      </c>
      <c r="K728" s="16" t="s">
        <v>3254</v>
      </c>
      <c r="L728" s="16" t="s">
        <v>3232</v>
      </c>
    </row>
    <row r="729" spans="1:12" x14ac:dyDescent="0.35">
      <c r="A729" s="16" t="s">
        <v>2414</v>
      </c>
      <c r="B729" s="17">
        <v>45599.291134259256</v>
      </c>
      <c r="C729" s="16" t="s">
        <v>260</v>
      </c>
      <c r="D729" s="16" t="s">
        <v>261</v>
      </c>
      <c r="E729" s="16" t="s">
        <v>2415</v>
      </c>
      <c r="F729" s="16" t="s">
        <v>69</v>
      </c>
      <c r="G729" s="16" t="s">
        <v>231</v>
      </c>
      <c r="H729" s="16" t="s">
        <v>277</v>
      </c>
      <c r="I729" s="16" t="s">
        <v>2416</v>
      </c>
      <c r="J729" s="16" t="s">
        <v>223</v>
      </c>
      <c r="K729" s="16" t="s">
        <v>3250</v>
      </c>
      <c r="L729" s="16" t="s">
        <v>3231</v>
      </c>
    </row>
    <row r="730" spans="1:12" x14ac:dyDescent="0.35">
      <c r="A730" s="16" t="s">
        <v>2417</v>
      </c>
      <c r="B730" s="17">
        <v>45618.413703703707</v>
      </c>
      <c r="C730" s="16" t="s">
        <v>260</v>
      </c>
      <c r="D730" s="16" t="s">
        <v>261</v>
      </c>
      <c r="E730" s="16" t="s">
        <v>2418</v>
      </c>
      <c r="F730" s="16" t="s">
        <v>69</v>
      </c>
      <c r="G730" s="16" t="s">
        <v>231</v>
      </c>
      <c r="H730" s="16" t="s">
        <v>221</v>
      </c>
      <c r="I730" s="16" t="s">
        <v>2419</v>
      </c>
      <c r="J730" s="16" t="s">
        <v>234</v>
      </c>
      <c r="K730" s="16" t="s">
        <v>3229</v>
      </c>
      <c r="L730" s="16" t="s">
        <v>3230</v>
      </c>
    </row>
    <row r="731" spans="1:12" x14ac:dyDescent="0.35">
      <c r="A731" s="16" t="s">
        <v>2420</v>
      </c>
      <c r="B731" s="17">
        <v>45405.127314814818</v>
      </c>
      <c r="C731" s="16" t="s">
        <v>216</v>
      </c>
      <c r="D731" s="16" t="s">
        <v>217</v>
      </c>
      <c r="E731" s="16" t="s">
        <v>2421</v>
      </c>
      <c r="F731" s="16" t="s">
        <v>219</v>
      </c>
      <c r="G731" s="16" t="s">
        <v>231</v>
      </c>
      <c r="H731" s="16" t="s">
        <v>232</v>
      </c>
      <c r="I731" s="16" t="s">
        <v>2422</v>
      </c>
      <c r="J731" s="16" t="s">
        <v>249</v>
      </c>
      <c r="K731" s="16" t="s">
        <v>3257</v>
      </c>
      <c r="L731" s="16" t="s">
        <v>3234</v>
      </c>
    </row>
    <row r="732" spans="1:12" x14ac:dyDescent="0.35">
      <c r="A732" s="16" t="s">
        <v>2423</v>
      </c>
      <c r="B732" s="17">
        <v>45775.169803240744</v>
      </c>
      <c r="C732" s="16" t="s">
        <v>216</v>
      </c>
      <c r="D732" s="16" t="s">
        <v>217</v>
      </c>
      <c r="E732" s="16" t="s">
        <v>2424</v>
      </c>
      <c r="F732" s="16" t="s">
        <v>219</v>
      </c>
      <c r="G732" s="16" t="s">
        <v>244</v>
      </c>
      <c r="H732" s="16" t="s">
        <v>232</v>
      </c>
      <c r="I732" s="16" t="s">
        <v>2425</v>
      </c>
      <c r="J732" s="16" t="s">
        <v>249</v>
      </c>
      <c r="K732" s="16" t="s">
        <v>3242</v>
      </c>
      <c r="L732" s="16" t="s">
        <v>3232</v>
      </c>
    </row>
    <row r="733" spans="1:12" x14ac:dyDescent="0.35">
      <c r="A733" s="16" t="s">
        <v>2426</v>
      </c>
      <c r="B733" s="17">
        <v>45542.475451388891</v>
      </c>
      <c r="C733" s="16" t="s">
        <v>260</v>
      </c>
      <c r="D733" s="16" t="s">
        <v>261</v>
      </c>
      <c r="E733" s="16" t="s">
        <v>2427</v>
      </c>
      <c r="F733" s="16" t="s">
        <v>219</v>
      </c>
      <c r="G733" s="16" t="s">
        <v>244</v>
      </c>
      <c r="H733" s="16" t="s">
        <v>221</v>
      </c>
      <c r="I733" s="16" t="s">
        <v>2428</v>
      </c>
      <c r="J733" s="16" t="s">
        <v>234</v>
      </c>
      <c r="K733" s="16" t="s">
        <v>3247</v>
      </c>
      <c r="L733" s="16" t="s">
        <v>3234</v>
      </c>
    </row>
    <row r="734" spans="1:12" x14ac:dyDescent="0.35">
      <c r="A734" s="16" t="s">
        <v>2429</v>
      </c>
      <c r="B734" s="17">
        <v>45510.265706018516</v>
      </c>
      <c r="C734" s="16" t="s">
        <v>260</v>
      </c>
      <c r="D734" s="16" t="s">
        <v>261</v>
      </c>
      <c r="E734" s="16" t="s">
        <v>2430</v>
      </c>
      <c r="F734" s="16" t="s">
        <v>237</v>
      </c>
      <c r="G734" s="16" t="s">
        <v>231</v>
      </c>
      <c r="H734" s="16" t="s">
        <v>277</v>
      </c>
      <c r="I734" s="16" t="s">
        <v>2431</v>
      </c>
      <c r="J734" s="16" t="s">
        <v>270</v>
      </c>
      <c r="K734" s="16" t="s">
        <v>3245</v>
      </c>
      <c r="L734" s="16" t="s">
        <v>3232</v>
      </c>
    </row>
    <row r="735" spans="1:12" x14ac:dyDescent="0.35">
      <c r="A735" s="16" t="s">
        <v>2432</v>
      </c>
      <c r="B735" s="17">
        <v>45523.480115740742</v>
      </c>
      <c r="C735" s="16" t="s">
        <v>260</v>
      </c>
      <c r="D735" s="16" t="s">
        <v>261</v>
      </c>
      <c r="E735" s="16" t="s">
        <v>2433</v>
      </c>
      <c r="F735" s="16" t="s">
        <v>237</v>
      </c>
      <c r="G735" s="16" t="s">
        <v>231</v>
      </c>
      <c r="H735" s="16" t="s">
        <v>273</v>
      </c>
      <c r="I735" s="16" t="s">
        <v>2434</v>
      </c>
      <c r="J735" s="16" t="s">
        <v>234</v>
      </c>
      <c r="K735" s="16" t="s">
        <v>3258</v>
      </c>
      <c r="L735" s="16" t="s">
        <v>3235</v>
      </c>
    </row>
    <row r="736" spans="1:12" x14ac:dyDescent="0.35">
      <c r="A736" s="16" t="s">
        <v>2435</v>
      </c>
      <c r="B736" s="17">
        <v>45923.031967592593</v>
      </c>
      <c r="C736" s="16" t="s">
        <v>301</v>
      </c>
      <c r="D736" s="16" t="s">
        <v>302</v>
      </c>
      <c r="E736" s="16" t="s">
        <v>2436</v>
      </c>
      <c r="F736" s="16" t="s">
        <v>219</v>
      </c>
      <c r="G736" s="16" t="s">
        <v>220</v>
      </c>
      <c r="H736" s="16" t="s">
        <v>232</v>
      </c>
      <c r="I736" s="16" t="s">
        <v>2437</v>
      </c>
      <c r="J736" s="16" t="s">
        <v>234</v>
      </c>
      <c r="K736" s="16" t="s">
        <v>3236</v>
      </c>
      <c r="L736" s="16" t="s">
        <v>3230</v>
      </c>
    </row>
    <row r="737" spans="1:12" x14ac:dyDescent="0.35">
      <c r="A737" s="16" t="s">
        <v>2438</v>
      </c>
      <c r="B737" s="17">
        <v>45925.969305555554</v>
      </c>
      <c r="C737" s="16" t="s">
        <v>301</v>
      </c>
      <c r="D737" s="16" t="s">
        <v>302</v>
      </c>
      <c r="E737" s="16" t="s">
        <v>2439</v>
      </c>
      <c r="F737" s="16" t="s">
        <v>219</v>
      </c>
      <c r="G737" s="16" t="s">
        <v>220</v>
      </c>
      <c r="H737" s="16" t="s">
        <v>273</v>
      </c>
      <c r="I737" s="16" t="s">
        <v>2440</v>
      </c>
      <c r="J737" s="16" t="s">
        <v>223</v>
      </c>
      <c r="K737" s="16" t="s">
        <v>3236</v>
      </c>
      <c r="L737" s="16" t="s">
        <v>3230</v>
      </c>
    </row>
    <row r="738" spans="1:12" x14ac:dyDescent="0.35">
      <c r="A738" s="16" t="s">
        <v>2441</v>
      </c>
      <c r="B738" s="17">
        <v>45815.456458333334</v>
      </c>
      <c r="C738" s="16" t="s">
        <v>260</v>
      </c>
      <c r="D738" s="16" t="s">
        <v>261</v>
      </c>
      <c r="E738" s="16" t="s">
        <v>2442</v>
      </c>
      <c r="F738" s="16" t="s">
        <v>69</v>
      </c>
      <c r="G738" s="16" t="s">
        <v>231</v>
      </c>
      <c r="H738" s="16" t="s">
        <v>221</v>
      </c>
      <c r="I738" s="16" t="s">
        <v>2443</v>
      </c>
      <c r="J738" s="16" t="s">
        <v>223</v>
      </c>
      <c r="K738" s="16" t="s">
        <v>3236</v>
      </c>
      <c r="L738" s="16" t="s">
        <v>3230</v>
      </c>
    </row>
    <row r="739" spans="1:12" x14ac:dyDescent="0.35">
      <c r="A739" s="16" t="s">
        <v>2444</v>
      </c>
      <c r="B739" s="17">
        <v>45853.121504629627</v>
      </c>
      <c r="C739" s="16" t="s">
        <v>301</v>
      </c>
      <c r="D739" s="16" t="s">
        <v>302</v>
      </c>
      <c r="E739" s="16" t="s">
        <v>2445</v>
      </c>
      <c r="F739" s="16" t="s">
        <v>237</v>
      </c>
      <c r="G739" s="16" t="s">
        <v>244</v>
      </c>
      <c r="H739" s="16" t="s">
        <v>232</v>
      </c>
      <c r="I739" s="16" t="s">
        <v>2446</v>
      </c>
      <c r="J739" s="16" t="s">
        <v>223</v>
      </c>
      <c r="K739" s="16" t="s">
        <v>3237</v>
      </c>
      <c r="L739" s="16" t="s">
        <v>3230</v>
      </c>
    </row>
    <row r="740" spans="1:12" x14ac:dyDescent="0.35">
      <c r="A740" s="16" t="s">
        <v>2447</v>
      </c>
      <c r="B740" s="17">
        <v>46328.100671296299</v>
      </c>
      <c r="C740" s="16" t="s">
        <v>216</v>
      </c>
      <c r="D740" s="16" t="s">
        <v>217</v>
      </c>
      <c r="E740" s="16" t="s">
        <v>2448</v>
      </c>
      <c r="F740" s="16" t="s">
        <v>237</v>
      </c>
      <c r="G740" s="16" t="s">
        <v>244</v>
      </c>
      <c r="H740" s="16" t="s">
        <v>277</v>
      </c>
      <c r="I740" s="16" t="s">
        <v>2449</v>
      </c>
      <c r="J740" s="16" t="s">
        <v>249</v>
      </c>
      <c r="K740" s="16" t="s">
        <v>3239</v>
      </c>
      <c r="L740" s="16" t="s">
        <v>3235</v>
      </c>
    </row>
    <row r="741" spans="1:12" x14ac:dyDescent="0.35">
      <c r="A741" s="16" t="s">
        <v>2450</v>
      </c>
      <c r="B741" s="17">
        <v>45668.955960648149</v>
      </c>
      <c r="C741" s="16" t="s">
        <v>260</v>
      </c>
      <c r="D741" s="16" t="s">
        <v>261</v>
      </c>
      <c r="E741" s="16" t="s">
        <v>2451</v>
      </c>
      <c r="F741" s="16" t="s">
        <v>219</v>
      </c>
      <c r="G741" s="16" t="s">
        <v>220</v>
      </c>
      <c r="H741" s="16" t="s">
        <v>221</v>
      </c>
      <c r="I741" s="16" t="s">
        <v>2452</v>
      </c>
      <c r="J741" s="16" t="s">
        <v>234</v>
      </c>
      <c r="K741" s="16" t="s">
        <v>3239</v>
      </c>
      <c r="L741" s="16" t="s">
        <v>3235</v>
      </c>
    </row>
    <row r="742" spans="1:12" x14ac:dyDescent="0.35">
      <c r="A742" s="16" t="s">
        <v>2453</v>
      </c>
      <c r="B742" s="17">
        <v>45460.168124999997</v>
      </c>
      <c r="C742" s="16" t="s">
        <v>301</v>
      </c>
      <c r="D742" s="16" t="s">
        <v>302</v>
      </c>
      <c r="E742" s="16" t="s">
        <v>2454</v>
      </c>
      <c r="F742" s="16" t="s">
        <v>69</v>
      </c>
      <c r="G742" s="16" t="s">
        <v>244</v>
      </c>
      <c r="H742" s="16" t="s">
        <v>238</v>
      </c>
      <c r="I742" s="16" t="s">
        <v>2455</v>
      </c>
      <c r="J742" s="16" t="s">
        <v>223</v>
      </c>
      <c r="K742" s="16" t="s">
        <v>3253</v>
      </c>
      <c r="L742" s="16" t="s">
        <v>3234</v>
      </c>
    </row>
    <row r="743" spans="1:12" x14ac:dyDescent="0.35">
      <c r="A743" s="16" t="s">
        <v>2456</v>
      </c>
      <c r="B743" s="17">
        <v>45565.395451388889</v>
      </c>
      <c r="C743" s="16" t="s">
        <v>301</v>
      </c>
      <c r="D743" s="16" t="s">
        <v>302</v>
      </c>
      <c r="E743" s="16" t="s">
        <v>2457</v>
      </c>
      <c r="F743" s="16" t="s">
        <v>219</v>
      </c>
      <c r="G743" s="16" t="s">
        <v>244</v>
      </c>
      <c r="H743" s="16" t="s">
        <v>232</v>
      </c>
      <c r="I743" s="16" t="s">
        <v>2458</v>
      </c>
      <c r="J743" s="16" t="s">
        <v>234</v>
      </c>
      <c r="K743" s="16" t="s">
        <v>3236</v>
      </c>
      <c r="L743" s="16" t="s">
        <v>3230</v>
      </c>
    </row>
    <row r="744" spans="1:12" x14ac:dyDescent="0.35">
      <c r="A744" s="16" t="s">
        <v>2459</v>
      </c>
      <c r="B744" s="17">
        <v>45664.596944444442</v>
      </c>
      <c r="C744" s="16" t="s">
        <v>216</v>
      </c>
      <c r="D744" s="16" t="s">
        <v>217</v>
      </c>
      <c r="E744" s="16" t="s">
        <v>2460</v>
      </c>
      <c r="F744" s="16" t="s">
        <v>219</v>
      </c>
      <c r="G744" s="16" t="s">
        <v>220</v>
      </c>
      <c r="H744" s="16" t="s">
        <v>232</v>
      </c>
      <c r="I744" s="16" t="s">
        <v>2461</v>
      </c>
      <c r="J744" s="16" t="s">
        <v>234</v>
      </c>
      <c r="K744" s="16" t="s">
        <v>3237</v>
      </c>
      <c r="L744" s="16" t="s">
        <v>3230</v>
      </c>
    </row>
    <row r="745" spans="1:12" x14ac:dyDescent="0.35">
      <c r="A745" s="16" t="s">
        <v>2462</v>
      </c>
      <c r="B745" s="17">
        <v>45828.256006944444</v>
      </c>
      <c r="C745" s="16" t="s">
        <v>216</v>
      </c>
      <c r="D745" s="16" t="s">
        <v>217</v>
      </c>
      <c r="E745" s="16" t="s">
        <v>2463</v>
      </c>
      <c r="F745" s="16" t="s">
        <v>237</v>
      </c>
      <c r="G745" s="16" t="s">
        <v>244</v>
      </c>
      <c r="H745" s="16" t="s">
        <v>232</v>
      </c>
      <c r="I745" s="16" t="s">
        <v>2464</v>
      </c>
      <c r="J745" s="16" t="s">
        <v>249</v>
      </c>
      <c r="K745" s="16" t="s">
        <v>3245</v>
      </c>
      <c r="L745" s="16" t="s">
        <v>3232</v>
      </c>
    </row>
    <row r="746" spans="1:12" x14ac:dyDescent="0.35">
      <c r="A746" s="16" t="s">
        <v>2465</v>
      </c>
      <c r="B746" s="17">
        <v>45640.860520833332</v>
      </c>
      <c r="C746" s="16" t="s">
        <v>228</v>
      </c>
      <c r="D746" s="16" t="s">
        <v>229</v>
      </c>
      <c r="E746" s="16" t="s">
        <v>2466</v>
      </c>
      <c r="F746" s="16" t="s">
        <v>69</v>
      </c>
      <c r="G746" s="16" t="s">
        <v>244</v>
      </c>
      <c r="H746" s="16" t="s">
        <v>221</v>
      </c>
      <c r="I746" s="16" t="s">
        <v>2467</v>
      </c>
      <c r="J746" s="16" t="s">
        <v>223</v>
      </c>
      <c r="K746" s="16" t="s">
        <v>3253</v>
      </c>
      <c r="L746" s="16" t="s">
        <v>3234</v>
      </c>
    </row>
    <row r="747" spans="1:12" x14ac:dyDescent="0.35">
      <c r="A747" s="16" t="s">
        <v>2468</v>
      </c>
      <c r="B747" s="17">
        <v>45708.2890625</v>
      </c>
      <c r="C747" s="16" t="s">
        <v>260</v>
      </c>
      <c r="D747" s="16" t="s">
        <v>261</v>
      </c>
      <c r="E747" s="16" t="s">
        <v>2469</v>
      </c>
      <c r="F747" s="16" t="s">
        <v>237</v>
      </c>
      <c r="G747" s="16" t="s">
        <v>244</v>
      </c>
      <c r="H747" s="16" t="s">
        <v>221</v>
      </c>
      <c r="I747" s="16" t="s">
        <v>2470</v>
      </c>
      <c r="J747" s="16" t="s">
        <v>234</v>
      </c>
      <c r="K747" s="16" t="s">
        <v>3236</v>
      </c>
      <c r="L747" s="16" t="s">
        <v>3230</v>
      </c>
    </row>
    <row r="748" spans="1:12" x14ac:dyDescent="0.35">
      <c r="A748" s="16" t="s">
        <v>2471</v>
      </c>
      <c r="B748" s="17">
        <v>45733.429270833331</v>
      </c>
      <c r="C748" s="16" t="s">
        <v>260</v>
      </c>
      <c r="D748" s="16" t="s">
        <v>261</v>
      </c>
      <c r="E748" s="16" t="s">
        <v>2472</v>
      </c>
      <c r="F748" s="16" t="s">
        <v>69</v>
      </c>
      <c r="G748" s="16" t="s">
        <v>231</v>
      </c>
      <c r="H748" s="16" t="s">
        <v>277</v>
      </c>
      <c r="I748" s="16" t="s">
        <v>2473</v>
      </c>
      <c r="J748" s="16" t="s">
        <v>234</v>
      </c>
      <c r="K748" s="16" t="s">
        <v>3238</v>
      </c>
      <c r="L748" s="16" t="s">
        <v>3230</v>
      </c>
    </row>
    <row r="749" spans="1:12" x14ac:dyDescent="0.35">
      <c r="A749" s="16" t="s">
        <v>2474</v>
      </c>
      <c r="B749" s="17">
        <v>45774.937037037038</v>
      </c>
      <c r="C749" s="16" t="s">
        <v>216</v>
      </c>
      <c r="D749" s="16" t="s">
        <v>217</v>
      </c>
      <c r="E749" s="16" t="s">
        <v>2475</v>
      </c>
      <c r="F749" s="16" t="s">
        <v>69</v>
      </c>
      <c r="G749" s="16" t="s">
        <v>231</v>
      </c>
      <c r="H749" s="16" t="s">
        <v>238</v>
      </c>
      <c r="I749" s="16" t="s">
        <v>2476</v>
      </c>
      <c r="J749" s="16" t="s">
        <v>270</v>
      </c>
      <c r="K749" s="16" t="s">
        <v>3247</v>
      </c>
      <c r="L749" s="16" t="s">
        <v>3234</v>
      </c>
    </row>
    <row r="750" spans="1:12" x14ac:dyDescent="0.35">
      <c r="A750" s="16" t="s">
        <v>2477</v>
      </c>
      <c r="B750" s="17">
        <v>46106.321932870371</v>
      </c>
      <c r="C750" s="16" t="s">
        <v>260</v>
      </c>
      <c r="D750" s="16" t="s">
        <v>261</v>
      </c>
      <c r="E750" s="16" t="s">
        <v>2478</v>
      </c>
      <c r="F750" s="16" t="s">
        <v>219</v>
      </c>
      <c r="G750" s="16" t="s">
        <v>231</v>
      </c>
      <c r="H750" s="16" t="s">
        <v>277</v>
      </c>
      <c r="I750" s="16" t="s">
        <v>2479</v>
      </c>
      <c r="J750" s="16" t="s">
        <v>270</v>
      </c>
      <c r="K750" s="16" t="s">
        <v>3247</v>
      </c>
      <c r="L750" s="16" t="s">
        <v>3234</v>
      </c>
    </row>
    <row r="751" spans="1:12" x14ac:dyDescent="0.35">
      <c r="A751" s="16" t="s">
        <v>2480</v>
      </c>
      <c r="B751" s="17">
        <v>45973.356261574074</v>
      </c>
      <c r="C751" s="16" t="s">
        <v>241</v>
      </c>
      <c r="D751" s="16" t="s">
        <v>242</v>
      </c>
      <c r="E751" s="16" t="s">
        <v>2481</v>
      </c>
      <c r="F751" s="16" t="s">
        <v>237</v>
      </c>
      <c r="G751" s="16" t="s">
        <v>244</v>
      </c>
      <c r="H751" s="16" t="s">
        <v>221</v>
      </c>
      <c r="I751" s="16" t="s">
        <v>2482</v>
      </c>
      <c r="J751" s="16" t="s">
        <v>249</v>
      </c>
      <c r="K751" s="16" t="s">
        <v>3236</v>
      </c>
      <c r="L751" s="16" t="s">
        <v>3230</v>
      </c>
    </row>
    <row r="752" spans="1:12" x14ac:dyDescent="0.35">
      <c r="A752" s="16" t="s">
        <v>2483</v>
      </c>
      <c r="B752" s="17">
        <v>45911.598761574074</v>
      </c>
      <c r="C752" s="16" t="s">
        <v>241</v>
      </c>
      <c r="D752" s="16" t="s">
        <v>242</v>
      </c>
      <c r="E752" s="16" t="s">
        <v>2484</v>
      </c>
      <c r="F752" s="16" t="s">
        <v>237</v>
      </c>
      <c r="G752" s="16" t="s">
        <v>220</v>
      </c>
      <c r="H752" s="16" t="s">
        <v>273</v>
      </c>
      <c r="I752" s="16" t="s">
        <v>2485</v>
      </c>
      <c r="J752" s="16" t="s">
        <v>234</v>
      </c>
      <c r="K752" s="16" t="s">
        <v>3250</v>
      </c>
      <c r="L752" s="16" t="s">
        <v>3231</v>
      </c>
    </row>
    <row r="753" spans="1:12" x14ac:dyDescent="0.35">
      <c r="A753" s="16" t="s">
        <v>2486</v>
      </c>
      <c r="B753" s="17">
        <v>46301.514537037037</v>
      </c>
      <c r="C753" s="16" t="s">
        <v>301</v>
      </c>
      <c r="D753" s="16" t="s">
        <v>302</v>
      </c>
      <c r="E753" s="16" t="s">
        <v>2487</v>
      </c>
      <c r="F753" s="16" t="s">
        <v>69</v>
      </c>
      <c r="G753" s="16" t="s">
        <v>220</v>
      </c>
      <c r="H753" s="16" t="s">
        <v>277</v>
      </c>
      <c r="I753" s="16" t="s">
        <v>2488</v>
      </c>
      <c r="J753" s="16" t="s">
        <v>223</v>
      </c>
      <c r="K753" s="16" t="s">
        <v>3254</v>
      </c>
      <c r="L753" s="16" t="s">
        <v>3232</v>
      </c>
    </row>
    <row r="754" spans="1:12" x14ac:dyDescent="0.35">
      <c r="A754" s="16" t="s">
        <v>2489</v>
      </c>
      <c r="B754" s="17">
        <v>45933.066990740743</v>
      </c>
      <c r="C754" s="16" t="s">
        <v>228</v>
      </c>
      <c r="D754" s="16" t="s">
        <v>229</v>
      </c>
      <c r="E754" s="16" t="s">
        <v>2490</v>
      </c>
      <c r="F754" s="16" t="s">
        <v>237</v>
      </c>
      <c r="G754" s="16" t="s">
        <v>231</v>
      </c>
      <c r="H754" s="16" t="s">
        <v>238</v>
      </c>
      <c r="I754" s="16" t="s">
        <v>2491</v>
      </c>
      <c r="J754" s="16" t="s">
        <v>249</v>
      </c>
      <c r="K754" s="16" t="s">
        <v>3252</v>
      </c>
      <c r="L754" s="16" t="s">
        <v>3232</v>
      </c>
    </row>
    <row r="755" spans="1:12" x14ac:dyDescent="0.35">
      <c r="A755" s="16" t="s">
        <v>2492</v>
      </c>
      <c r="B755" s="17">
        <v>46350.47483796296</v>
      </c>
      <c r="C755" s="16" t="s">
        <v>301</v>
      </c>
      <c r="D755" s="16" t="s">
        <v>302</v>
      </c>
      <c r="E755" s="16" t="s">
        <v>2493</v>
      </c>
      <c r="F755" s="16" t="s">
        <v>69</v>
      </c>
      <c r="G755" s="16" t="s">
        <v>231</v>
      </c>
      <c r="H755" s="16" t="s">
        <v>273</v>
      </c>
      <c r="I755" s="16" t="s">
        <v>2494</v>
      </c>
      <c r="J755" s="16" t="s">
        <v>223</v>
      </c>
      <c r="K755" s="16" t="s">
        <v>3259</v>
      </c>
      <c r="L755" s="16" t="s">
        <v>3235</v>
      </c>
    </row>
    <row r="756" spans="1:12" x14ac:dyDescent="0.35">
      <c r="A756" s="16" t="s">
        <v>2495</v>
      </c>
      <c r="B756" s="17">
        <v>45403.348703703705</v>
      </c>
      <c r="C756" s="16" t="s">
        <v>216</v>
      </c>
      <c r="D756" s="16" t="s">
        <v>217</v>
      </c>
      <c r="E756" s="16" t="s">
        <v>2496</v>
      </c>
      <c r="F756" s="16" t="s">
        <v>69</v>
      </c>
      <c r="G756" s="16" t="s">
        <v>231</v>
      </c>
      <c r="H756" s="16" t="s">
        <v>277</v>
      </c>
      <c r="I756" s="16" t="s">
        <v>2497</v>
      </c>
      <c r="J756" s="16" t="s">
        <v>223</v>
      </c>
      <c r="K756" s="16" t="s">
        <v>3244</v>
      </c>
      <c r="L756" s="16" t="s">
        <v>3235</v>
      </c>
    </row>
    <row r="757" spans="1:12" x14ac:dyDescent="0.35">
      <c r="A757" s="16" t="s">
        <v>2498</v>
      </c>
      <c r="B757" s="17">
        <v>45375.669791666667</v>
      </c>
      <c r="C757" s="16" t="s">
        <v>260</v>
      </c>
      <c r="D757" s="16" t="s">
        <v>261</v>
      </c>
      <c r="E757" s="16" t="s">
        <v>2499</v>
      </c>
      <c r="F757" s="16" t="s">
        <v>219</v>
      </c>
      <c r="G757" s="16" t="s">
        <v>244</v>
      </c>
      <c r="H757" s="16" t="s">
        <v>221</v>
      </c>
      <c r="I757" s="16" t="s">
        <v>2500</v>
      </c>
      <c r="J757" s="16" t="s">
        <v>223</v>
      </c>
      <c r="K757" s="16" t="s">
        <v>3254</v>
      </c>
      <c r="L757" s="16" t="s">
        <v>3232</v>
      </c>
    </row>
    <row r="758" spans="1:12" x14ac:dyDescent="0.35">
      <c r="A758" s="16" t="s">
        <v>2501</v>
      </c>
      <c r="B758" s="17">
        <v>46007.141956018517</v>
      </c>
      <c r="C758" s="16" t="s">
        <v>216</v>
      </c>
      <c r="D758" s="16" t="s">
        <v>217</v>
      </c>
      <c r="E758" s="16" t="s">
        <v>2502</v>
      </c>
      <c r="F758" s="16" t="s">
        <v>237</v>
      </c>
      <c r="G758" s="16" t="s">
        <v>220</v>
      </c>
      <c r="H758" s="16" t="s">
        <v>277</v>
      </c>
      <c r="I758" s="16" t="s">
        <v>2503</v>
      </c>
      <c r="J758" s="16" t="s">
        <v>249</v>
      </c>
      <c r="K758" s="16" t="s">
        <v>3241</v>
      </c>
      <c r="L758" s="16" t="s">
        <v>3231</v>
      </c>
    </row>
    <row r="759" spans="1:12" x14ac:dyDescent="0.35">
      <c r="A759" s="16" t="s">
        <v>2504</v>
      </c>
      <c r="B759" s="17">
        <v>45300.797974537039</v>
      </c>
      <c r="C759" s="16" t="s">
        <v>241</v>
      </c>
      <c r="D759" s="16" t="s">
        <v>242</v>
      </c>
      <c r="E759" s="16" t="s">
        <v>2505</v>
      </c>
      <c r="F759" s="16" t="s">
        <v>69</v>
      </c>
      <c r="G759" s="16" t="s">
        <v>231</v>
      </c>
      <c r="H759" s="16" t="s">
        <v>273</v>
      </c>
      <c r="I759" s="16" t="s">
        <v>2506</v>
      </c>
      <c r="J759" s="16" t="s">
        <v>223</v>
      </c>
      <c r="K759" s="16" t="s">
        <v>3252</v>
      </c>
      <c r="L759" s="16" t="s">
        <v>3232</v>
      </c>
    </row>
    <row r="760" spans="1:12" x14ac:dyDescent="0.35">
      <c r="A760" s="16" t="s">
        <v>2507</v>
      </c>
      <c r="B760" s="17">
        <v>45874.185057870367</v>
      </c>
      <c r="C760" s="16" t="s">
        <v>216</v>
      </c>
      <c r="D760" s="16" t="s">
        <v>217</v>
      </c>
      <c r="E760" s="16" t="s">
        <v>2508</v>
      </c>
      <c r="F760" s="16" t="s">
        <v>237</v>
      </c>
      <c r="G760" s="16" t="s">
        <v>244</v>
      </c>
      <c r="H760" s="16" t="s">
        <v>238</v>
      </c>
      <c r="I760" s="16" t="s">
        <v>2509</v>
      </c>
      <c r="J760" s="16" t="s">
        <v>234</v>
      </c>
      <c r="K760" s="16" t="s">
        <v>3254</v>
      </c>
      <c r="L760" s="16" t="s">
        <v>3232</v>
      </c>
    </row>
    <row r="761" spans="1:12" x14ac:dyDescent="0.35">
      <c r="A761" s="16" t="s">
        <v>2510</v>
      </c>
      <c r="B761" s="17">
        <v>46274.688807870371</v>
      </c>
      <c r="C761" s="16" t="s">
        <v>216</v>
      </c>
      <c r="D761" s="16" t="s">
        <v>217</v>
      </c>
      <c r="E761" s="16" t="s">
        <v>2511</v>
      </c>
      <c r="F761" s="16" t="s">
        <v>237</v>
      </c>
      <c r="G761" s="16" t="s">
        <v>244</v>
      </c>
      <c r="H761" s="16" t="s">
        <v>221</v>
      </c>
      <c r="I761" s="16" t="s">
        <v>2512</v>
      </c>
      <c r="J761" s="16" t="s">
        <v>270</v>
      </c>
      <c r="K761" s="16" t="s">
        <v>3242</v>
      </c>
      <c r="L761" s="16" t="s">
        <v>3232</v>
      </c>
    </row>
    <row r="762" spans="1:12" x14ac:dyDescent="0.35">
      <c r="A762" s="16" t="s">
        <v>2513</v>
      </c>
      <c r="B762" s="17">
        <v>45556.320648148147</v>
      </c>
      <c r="C762" s="16" t="s">
        <v>241</v>
      </c>
      <c r="D762" s="16" t="s">
        <v>242</v>
      </c>
      <c r="E762" s="16" t="s">
        <v>2514</v>
      </c>
      <c r="F762" s="16" t="s">
        <v>219</v>
      </c>
      <c r="G762" s="16" t="s">
        <v>231</v>
      </c>
      <c r="H762" s="16" t="s">
        <v>232</v>
      </c>
      <c r="I762" s="16" t="s">
        <v>2515</v>
      </c>
      <c r="J762" s="16" t="s">
        <v>270</v>
      </c>
      <c r="K762" s="16" t="s">
        <v>3255</v>
      </c>
      <c r="L762" s="16" t="s">
        <v>3235</v>
      </c>
    </row>
    <row r="763" spans="1:12" x14ac:dyDescent="0.35">
      <c r="A763" s="16" t="s">
        <v>2516</v>
      </c>
      <c r="B763" s="17">
        <v>45481.605081018519</v>
      </c>
      <c r="C763" s="16" t="s">
        <v>241</v>
      </c>
      <c r="D763" s="16" t="s">
        <v>242</v>
      </c>
      <c r="E763" s="16" t="s">
        <v>2517</v>
      </c>
      <c r="F763" s="16" t="s">
        <v>69</v>
      </c>
      <c r="G763" s="16" t="s">
        <v>220</v>
      </c>
      <c r="H763" s="16" t="s">
        <v>273</v>
      </c>
      <c r="I763" s="16" t="s">
        <v>2518</v>
      </c>
      <c r="J763" s="16" t="s">
        <v>270</v>
      </c>
      <c r="K763" s="16" t="s">
        <v>3238</v>
      </c>
      <c r="L763" s="16" t="s">
        <v>3230</v>
      </c>
    </row>
    <row r="764" spans="1:12" x14ac:dyDescent="0.35">
      <c r="A764" s="16" t="s">
        <v>2519</v>
      </c>
      <c r="B764" s="17">
        <v>46116.432256944441</v>
      </c>
      <c r="C764" s="16" t="s">
        <v>228</v>
      </c>
      <c r="D764" s="16" t="s">
        <v>229</v>
      </c>
      <c r="E764" s="16" t="s">
        <v>2520</v>
      </c>
      <c r="F764" s="16" t="s">
        <v>219</v>
      </c>
      <c r="G764" s="16" t="s">
        <v>220</v>
      </c>
      <c r="H764" s="16" t="s">
        <v>277</v>
      </c>
      <c r="I764" s="16" t="s">
        <v>2521</v>
      </c>
      <c r="J764" s="16" t="s">
        <v>223</v>
      </c>
      <c r="K764" s="16" t="s">
        <v>3257</v>
      </c>
      <c r="L764" s="16" t="s">
        <v>3234</v>
      </c>
    </row>
    <row r="765" spans="1:12" x14ac:dyDescent="0.35">
      <c r="A765" s="16" t="s">
        <v>2522</v>
      </c>
      <c r="B765" s="17">
        <v>45560.544675925928</v>
      </c>
      <c r="C765" s="16" t="s">
        <v>260</v>
      </c>
      <c r="D765" s="16" t="s">
        <v>261</v>
      </c>
      <c r="E765" s="16" t="s">
        <v>2523</v>
      </c>
      <c r="F765" s="16" t="s">
        <v>69</v>
      </c>
      <c r="G765" s="16" t="s">
        <v>231</v>
      </c>
      <c r="H765" s="16" t="s">
        <v>238</v>
      </c>
      <c r="I765" s="16" t="s">
        <v>2524</v>
      </c>
      <c r="J765" s="16" t="s">
        <v>223</v>
      </c>
      <c r="K765" s="16" t="s">
        <v>3244</v>
      </c>
      <c r="L765" s="16" t="s">
        <v>3235</v>
      </c>
    </row>
    <row r="766" spans="1:12" x14ac:dyDescent="0.35">
      <c r="A766" s="16" t="s">
        <v>2525</v>
      </c>
      <c r="B766" s="17">
        <v>45841.854178240741</v>
      </c>
      <c r="C766" s="16" t="s">
        <v>260</v>
      </c>
      <c r="D766" s="16" t="s">
        <v>261</v>
      </c>
      <c r="E766" s="16" t="s">
        <v>2526</v>
      </c>
      <c r="F766" s="16" t="s">
        <v>237</v>
      </c>
      <c r="G766" s="16" t="s">
        <v>220</v>
      </c>
      <c r="H766" s="16" t="s">
        <v>232</v>
      </c>
      <c r="I766" s="16" t="s">
        <v>2527</v>
      </c>
      <c r="J766" s="16" t="s">
        <v>234</v>
      </c>
      <c r="K766" s="16" t="s">
        <v>3247</v>
      </c>
      <c r="L766" s="16" t="s">
        <v>3234</v>
      </c>
    </row>
    <row r="767" spans="1:12" x14ac:dyDescent="0.35">
      <c r="A767" s="16" t="s">
        <v>2528</v>
      </c>
      <c r="B767" s="17">
        <v>45374.778749999998</v>
      </c>
      <c r="C767" s="16" t="s">
        <v>260</v>
      </c>
      <c r="D767" s="16" t="s">
        <v>261</v>
      </c>
      <c r="E767" s="16" t="s">
        <v>2529</v>
      </c>
      <c r="F767" s="16" t="s">
        <v>237</v>
      </c>
      <c r="G767" s="16" t="s">
        <v>244</v>
      </c>
      <c r="H767" s="16" t="s">
        <v>232</v>
      </c>
      <c r="I767" s="16" t="s">
        <v>2530</v>
      </c>
      <c r="J767" s="16" t="s">
        <v>234</v>
      </c>
      <c r="K767" s="16" t="s">
        <v>3258</v>
      </c>
      <c r="L767" s="16" t="s">
        <v>3235</v>
      </c>
    </row>
    <row r="768" spans="1:12" x14ac:dyDescent="0.35">
      <c r="A768" s="16" t="s">
        <v>2531</v>
      </c>
      <c r="B768" s="17">
        <v>45463.441006944442</v>
      </c>
      <c r="C768" s="16" t="s">
        <v>260</v>
      </c>
      <c r="D768" s="16" t="s">
        <v>261</v>
      </c>
      <c r="E768" s="16" t="s">
        <v>2532</v>
      </c>
      <c r="F768" s="16" t="s">
        <v>237</v>
      </c>
      <c r="G768" s="16" t="s">
        <v>220</v>
      </c>
      <c r="H768" s="16" t="s">
        <v>273</v>
      </c>
      <c r="I768" s="16" t="s">
        <v>2533</v>
      </c>
      <c r="J768" s="16" t="s">
        <v>234</v>
      </c>
      <c r="K768" s="16" t="s">
        <v>3241</v>
      </c>
      <c r="L768" s="16" t="s">
        <v>3231</v>
      </c>
    </row>
    <row r="769" spans="1:12" x14ac:dyDescent="0.35">
      <c r="A769" s="16" t="s">
        <v>2534</v>
      </c>
      <c r="B769" s="17">
        <v>46363.648877314816</v>
      </c>
      <c r="C769" s="16" t="s">
        <v>228</v>
      </c>
      <c r="D769" s="16" t="s">
        <v>229</v>
      </c>
      <c r="E769" s="16" t="s">
        <v>2535</v>
      </c>
      <c r="F769" s="16" t="s">
        <v>219</v>
      </c>
      <c r="G769" s="16" t="s">
        <v>220</v>
      </c>
      <c r="H769" s="16" t="s">
        <v>238</v>
      </c>
      <c r="I769" s="16" t="s">
        <v>2536</v>
      </c>
      <c r="J769" s="16" t="s">
        <v>270</v>
      </c>
      <c r="K769" s="16" t="s">
        <v>3243</v>
      </c>
      <c r="L769" s="16" t="s">
        <v>3234</v>
      </c>
    </row>
    <row r="770" spans="1:12" x14ac:dyDescent="0.35">
      <c r="A770" s="16" t="s">
        <v>2537</v>
      </c>
      <c r="B770" s="17">
        <v>45485.704895833333</v>
      </c>
      <c r="C770" s="16" t="s">
        <v>241</v>
      </c>
      <c r="D770" s="16" t="s">
        <v>242</v>
      </c>
      <c r="E770" s="16" t="s">
        <v>2538</v>
      </c>
      <c r="F770" s="16" t="s">
        <v>219</v>
      </c>
      <c r="G770" s="16" t="s">
        <v>244</v>
      </c>
      <c r="H770" s="16" t="s">
        <v>232</v>
      </c>
      <c r="I770" s="16" t="s">
        <v>2539</v>
      </c>
      <c r="J770" s="16" t="s">
        <v>249</v>
      </c>
      <c r="K770" s="16" t="s">
        <v>3257</v>
      </c>
      <c r="L770" s="16" t="s">
        <v>3234</v>
      </c>
    </row>
    <row r="771" spans="1:12" x14ac:dyDescent="0.35">
      <c r="A771" s="16" t="s">
        <v>2540</v>
      </c>
      <c r="B771" s="17">
        <v>45325.172835648147</v>
      </c>
      <c r="C771" s="16" t="s">
        <v>241</v>
      </c>
      <c r="D771" s="16" t="s">
        <v>242</v>
      </c>
      <c r="E771" s="16" t="s">
        <v>2541</v>
      </c>
      <c r="F771" s="16" t="s">
        <v>237</v>
      </c>
      <c r="G771" s="16" t="s">
        <v>220</v>
      </c>
      <c r="H771" s="16" t="s">
        <v>221</v>
      </c>
      <c r="I771" s="16" t="s">
        <v>2542</v>
      </c>
      <c r="J771" s="16" t="s">
        <v>270</v>
      </c>
      <c r="K771" s="16" t="s">
        <v>3250</v>
      </c>
      <c r="L771" s="16" t="s">
        <v>3231</v>
      </c>
    </row>
    <row r="772" spans="1:12" x14ac:dyDescent="0.35">
      <c r="A772" s="16" t="s">
        <v>2543</v>
      </c>
      <c r="B772" s="17">
        <v>45934.890810185185</v>
      </c>
      <c r="C772" s="16" t="s">
        <v>216</v>
      </c>
      <c r="D772" s="16" t="s">
        <v>217</v>
      </c>
      <c r="E772" s="16" t="s">
        <v>2544</v>
      </c>
      <c r="F772" s="16" t="s">
        <v>219</v>
      </c>
      <c r="G772" s="16" t="s">
        <v>231</v>
      </c>
      <c r="H772" s="16" t="s">
        <v>232</v>
      </c>
      <c r="I772" s="16" t="s">
        <v>2545</v>
      </c>
      <c r="J772" s="16" t="s">
        <v>234</v>
      </c>
      <c r="K772" s="16" t="s">
        <v>3259</v>
      </c>
      <c r="L772" s="16" t="s">
        <v>3235</v>
      </c>
    </row>
    <row r="773" spans="1:12" x14ac:dyDescent="0.35">
      <c r="A773" s="16" t="s">
        <v>2546</v>
      </c>
      <c r="B773" s="17">
        <v>45823.161296296297</v>
      </c>
      <c r="C773" s="16" t="s">
        <v>228</v>
      </c>
      <c r="D773" s="16" t="s">
        <v>229</v>
      </c>
      <c r="E773" s="16" t="s">
        <v>2547</v>
      </c>
      <c r="F773" s="16" t="s">
        <v>219</v>
      </c>
      <c r="G773" s="16" t="s">
        <v>220</v>
      </c>
      <c r="H773" s="16" t="s">
        <v>277</v>
      </c>
      <c r="I773" s="16" t="s">
        <v>2512</v>
      </c>
      <c r="J773" s="16" t="s">
        <v>270</v>
      </c>
      <c r="K773" s="16" t="s">
        <v>3251</v>
      </c>
      <c r="L773" s="16" t="s">
        <v>3231</v>
      </c>
    </row>
    <row r="774" spans="1:12" x14ac:dyDescent="0.35">
      <c r="A774" s="16" t="s">
        <v>2548</v>
      </c>
      <c r="B774" s="17">
        <v>46234.614537037036</v>
      </c>
      <c r="C774" s="16" t="s">
        <v>216</v>
      </c>
      <c r="D774" s="16" t="s">
        <v>217</v>
      </c>
      <c r="E774" s="16" t="s">
        <v>2549</v>
      </c>
      <c r="F774" s="16" t="s">
        <v>219</v>
      </c>
      <c r="G774" s="16" t="s">
        <v>244</v>
      </c>
      <c r="H774" s="16" t="s">
        <v>277</v>
      </c>
      <c r="I774" s="16" t="s">
        <v>2550</v>
      </c>
      <c r="J774" s="16" t="s">
        <v>249</v>
      </c>
      <c r="K774" s="16" t="s">
        <v>3237</v>
      </c>
      <c r="L774" s="16" t="s">
        <v>3230</v>
      </c>
    </row>
    <row r="775" spans="1:12" x14ac:dyDescent="0.35">
      <c r="A775" s="16" t="s">
        <v>2551</v>
      </c>
      <c r="B775" s="17">
        <v>45548.204965277779</v>
      </c>
      <c r="C775" s="16" t="s">
        <v>260</v>
      </c>
      <c r="D775" s="16" t="s">
        <v>261</v>
      </c>
      <c r="E775" s="16" t="s">
        <v>2552</v>
      </c>
      <c r="F775" s="16" t="s">
        <v>69</v>
      </c>
      <c r="G775" s="16" t="s">
        <v>220</v>
      </c>
      <c r="H775" s="16" t="s">
        <v>238</v>
      </c>
      <c r="I775" s="16" t="s">
        <v>2553</v>
      </c>
      <c r="J775" s="16" t="s">
        <v>234</v>
      </c>
      <c r="K775" s="16" t="s">
        <v>3257</v>
      </c>
      <c r="L775" s="16" t="s">
        <v>3234</v>
      </c>
    </row>
    <row r="776" spans="1:12" x14ac:dyDescent="0.35">
      <c r="A776" s="16" t="s">
        <v>2554</v>
      </c>
      <c r="B776" s="17">
        <v>45589.985671296294</v>
      </c>
      <c r="C776" s="16" t="s">
        <v>216</v>
      </c>
      <c r="D776" s="16" t="s">
        <v>217</v>
      </c>
      <c r="E776" s="16" t="s">
        <v>2555</v>
      </c>
      <c r="F776" s="16" t="s">
        <v>237</v>
      </c>
      <c r="G776" s="16" t="s">
        <v>244</v>
      </c>
      <c r="H776" s="16" t="s">
        <v>277</v>
      </c>
      <c r="I776" s="16" t="s">
        <v>2556</v>
      </c>
      <c r="J776" s="16" t="s">
        <v>270</v>
      </c>
      <c r="K776" s="16" t="s">
        <v>3229</v>
      </c>
      <c r="L776" s="16" t="s">
        <v>3230</v>
      </c>
    </row>
    <row r="777" spans="1:12" x14ac:dyDescent="0.35">
      <c r="A777" s="16" t="s">
        <v>2557</v>
      </c>
      <c r="B777" s="17">
        <v>46262.64</v>
      </c>
      <c r="C777" s="16" t="s">
        <v>301</v>
      </c>
      <c r="D777" s="16" t="s">
        <v>302</v>
      </c>
      <c r="E777" s="16" t="s">
        <v>2558</v>
      </c>
      <c r="F777" s="16" t="s">
        <v>69</v>
      </c>
      <c r="G777" s="16" t="s">
        <v>220</v>
      </c>
      <c r="H777" s="16" t="s">
        <v>232</v>
      </c>
      <c r="I777" s="16" t="s">
        <v>2559</v>
      </c>
      <c r="J777" s="16" t="s">
        <v>223</v>
      </c>
      <c r="K777" s="16" t="s">
        <v>3250</v>
      </c>
      <c r="L777" s="16" t="s">
        <v>3231</v>
      </c>
    </row>
    <row r="778" spans="1:12" x14ac:dyDescent="0.35">
      <c r="A778" s="16" t="s">
        <v>2560</v>
      </c>
      <c r="B778" s="17">
        <v>46212.887800925928</v>
      </c>
      <c r="C778" s="16" t="s">
        <v>260</v>
      </c>
      <c r="D778" s="16" t="s">
        <v>261</v>
      </c>
      <c r="E778" s="16" t="s">
        <v>2561</v>
      </c>
      <c r="F778" s="16" t="s">
        <v>69</v>
      </c>
      <c r="G778" s="16" t="s">
        <v>231</v>
      </c>
      <c r="H778" s="16" t="s">
        <v>232</v>
      </c>
      <c r="I778" s="16" t="s">
        <v>2562</v>
      </c>
      <c r="J778" s="16" t="s">
        <v>249</v>
      </c>
      <c r="K778" s="16" t="s">
        <v>3229</v>
      </c>
      <c r="L778" s="16" t="s">
        <v>3230</v>
      </c>
    </row>
    <row r="779" spans="1:12" x14ac:dyDescent="0.35">
      <c r="A779" s="16" t="s">
        <v>2563</v>
      </c>
      <c r="B779" s="17">
        <v>46143.75199074074</v>
      </c>
      <c r="C779" s="16" t="s">
        <v>216</v>
      </c>
      <c r="D779" s="16" t="s">
        <v>217</v>
      </c>
      <c r="E779" s="16" t="s">
        <v>2564</v>
      </c>
      <c r="F779" s="16" t="s">
        <v>219</v>
      </c>
      <c r="G779" s="16" t="s">
        <v>244</v>
      </c>
      <c r="H779" s="16" t="s">
        <v>221</v>
      </c>
      <c r="I779" s="16" t="s">
        <v>2565</v>
      </c>
      <c r="J779" s="16" t="s">
        <v>223</v>
      </c>
      <c r="K779" s="16" t="s">
        <v>3244</v>
      </c>
      <c r="L779" s="16" t="s">
        <v>3235</v>
      </c>
    </row>
    <row r="780" spans="1:12" x14ac:dyDescent="0.35">
      <c r="A780" s="16" t="s">
        <v>2566</v>
      </c>
      <c r="B780" s="17">
        <v>46291.351805555554</v>
      </c>
      <c r="C780" s="16" t="s">
        <v>260</v>
      </c>
      <c r="D780" s="16" t="s">
        <v>261</v>
      </c>
      <c r="E780" s="16" t="s">
        <v>2567</v>
      </c>
      <c r="F780" s="16" t="s">
        <v>219</v>
      </c>
      <c r="G780" s="16" t="s">
        <v>220</v>
      </c>
      <c r="H780" s="16" t="s">
        <v>232</v>
      </c>
      <c r="I780" s="16" t="s">
        <v>2568</v>
      </c>
      <c r="J780" s="16" t="s">
        <v>249</v>
      </c>
      <c r="K780" s="16" t="s">
        <v>3239</v>
      </c>
      <c r="L780" s="16" t="s">
        <v>3235</v>
      </c>
    </row>
    <row r="781" spans="1:12" x14ac:dyDescent="0.35">
      <c r="A781" s="16" t="s">
        <v>2569</v>
      </c>
      <c r="B781" s="17">
        <v>46146.71806712963</v>
      </c>
      <c r="C781" s="16" t="s">
        <v>241</v>
      </c>
      <c r="D781" s="16" t="s">
        <v>242</v>
      </c>
      <c r="E781" s="16" t="s">
        <v>2570</v>
      </c>
      <c r="F781" s="16" t="s">
        <v>237</v>
      </c>
      <c r="G781" s="16" t="s">
        <v>244</v>
      </c>
      <c r="H781" s="16" t="s">
        <v>221</v>
      </c>
      <c r="I781" s="16" t="s">
        <v>2571</v>
      </c>
      <c r="J781" s="16" t="s">
        <v>223</v>
      </c>
      <c r="K781" s="16" t="s">
        <v>3247</v>
      </c>
      <c r="L781" s="16" t="s">
        <v>3234</v>
      </c>
    </row>
    <row r="782" spans="1:12" x14ac:dyDescent="0.35">
      <c r="A782" s="16" t="s">
        <v>2572</v>
      </c>
      <c r="B782" s="17">
        <v>45685.711851851855</v>
      </c>
      <c r="C782" s="16" t="s">
        <v>216</v>
      </c>
      <c r="D782" s="16" t="s">
        <v>217</v>
      </c>
      <c r="E782" s="16" t="s">
        <v>2573</v>
      </c>
      <c r="F782" s="16" t="s">
        <v>237</v>
      </c>
      <c r="G782" s="16" t="s">
        <v>220</v>
      </c>
      <c r="H782" s="16" t="s">
        <v>277</v>
      </c>
      <c r="I782" s="16" t="s">
        <v>2574</v>
      </c>
      <c r="J782" s="16" t="s">
        <v>249</v>
      </c>
      <c r="K782" s="16" t="s">
        <v>3259</v>
      </c>
      <c r="L782" s="16" t="s">
        <v>3235</v>
      </c>
    </row>
    <row r="783" spans="1:12" x14ac:dyDescent="0.35">
      <c r="A783" s="16" t="s">
        <v>2575</v>
      </c>
      <c r="B783" s="17">
        <v>45892.592199074075</v>
      </c>
      <c r="C783" s="16" t="s">
        <v>241</v>
      </c>
      <c r="D783" s="16" t="s">
        <v>242</v>
      </c>
      <c r="E783" s="16" t="s">
        <v>2576</v>
      </c>
      <c r="F783" s="16" t="s">
        <v>219</v>
      </c>
      <c r="G783" s="16" t="s">
        <v>244</v>
      </c>
      <c r="H783" s="16" t="s">
        <v>232</v>
      </c>
      <c r="I783" s="16" t="s">
        <v>2577</v>
      </c>
      <c r="J783" s="16" t="s">
        <v>234</v>
      </c>
      <c r="K783" s="16" t="s">
        <v>3247</v>
      </c>
      <c r="L783" s="16" t="s">
        <v>3234</v>
      </c>
    </row>
    <row r="784" spans="1:12" x14ac:dyDescent="0.35">
      <c r="A784" s="16" t="s">
        <v>2578</v>
      </c>
      <c r="B784" s="17">
        <v>45468.732557870368</v>
      </c>
      <c r="C784" s="16" t="s">
        <v>241</v>
      </c>
      <c r="D784" s="16" t="s">
        <v>242</v>
      </c>
      <c r="E784" s="16" t="s">
        <v>2579</v>
      </c>
      <c r="F784" s="16" t="s">
        <v>69</v>
      </c>
      <c r="G784" s="16" t="s">
        <v>220</v>
      </c>
      <c r="H784" s="16" t="s">
        <v>277</v>
      </c>
      <c r="I784" s="16" t="s">
        <v>2580</v>
      </c>
      <c r="J784" s="16" t="s">
        <v>223</v>
      </c>
      <c r="K784" s="16" t="s">
        <v>3254</v>
      </c>
      <c r="L784" s="16" t="s">
        <v>3232</v>
      </c>
    </row>
    <row r="785" spans="1:12" x14ac:dyDescent="0.35">
      <c r="A785" s="16" t="s">
        <v>2581</v>
      </c>
      <c r="B785" s="17">
        <v>45913.356076388889</v>
      </c>
      <c r="C785" s="16" t="s">
        <v>216</v>
      </c>
      <c r="D785" s="16" t="s">
        <v>217</v>
      </c>
      <c r="E785" s="16" t="s">
        <v>2582</v>
      </c>
      <c r="F785" s="16" t="s">
        <v>219</v>
      </c>
      <c r="G785" s="16" t="s">
        <v>220</v>
      </c>
      <c r="H785" s="16" t="s">
        <v>232</v>
      </c>
      <c r="I785" s="16" t="s">
        <v>2583</v>
      </c>
      <c r="J785" s="16" t="s">
        <v>249</v>
      </c>
      <c r="K785" s="16" t="s">
        <v>3239</v>
      </c>
      <c r="L785" s="16" t="s">
        <v>3235</v>
      </c>
    </row>
    <row r="786" spans="1:12" x14ac:dyDescent="0.35">
      <c r="A786" s="16" t="s">
        <v>2584</v>
      </c>
      <c r="B786" s="17">
        <v>46323.048495370371</v>
      </c>
      <c r="C786" s="16" t="s">
        <v>301</v>
      </c>
      <c r="D786" s="16" t="s">
        <v>302</v>
      </c>
      <c r="E786" s="16" t="s">
        <v>2585</v>
      </c>
      <c r="F786" s="16" t="s">
        <v>237</v>
      </c>
      <c r="G786" s="16" t="s">
        <v>231</v>
      </c>
      <c r="H786" s="16" t="s">
        <v>277</v>
      </c>
      <c r="I786" s="16" t="s">
        <v>2586</v>
      </c>
      <c r="J786" s="16" t="s">
        <v>234</v>
      </c>
      <c r="K786" s="16" t="s">
        <v>3255</v>
      </c>
      <c r="L786" s="16" t="s">
        <v>3235</v>
      </c>
    </row>
    <row r="787" spans="1:12" x14ac:dyDescent="0.35">
      <c r="A787" s="16" t="s">
        <v>2587</v>
      </c>
      <c r="B787" s="17">
        <v>46288.391122685185</v>
      </c>
      <c r="C787" s="16" t="s">
        <v>216</v>
      </c>
      <c r="D787" s="16" t="s">
        <v>217</v>
      </c>
      <c r="E787" s="16" t="s">
        <v>2588</v>
      </c>
      <c r="F787" s="16" t="s">
        <v>237</v>
      </c>
      <c r="G787" s="16" t="s">
        <v>220</v>
      </c>
      <c r="H787" s="16" t="s">
        <v>273</v>
      </c>
      <c r="I787" s="16" t="s">
        <v>2589</v>
      </c>
      <c r="J787" s="16" t="s">
        <v>270</v>
      </c>
      <c r="K787" s="16" t="s">
        <v>3236</v>
      </c>
      <c r="L787" s="16" t="s">
        <v>3230</v>
      </c>
    </row>
    <row r="788" spans="1:12" x14ac:dyDescent="0.35">
      <c r="A788" s="16" t="s">
        <v>2590</v>
      </c>
      <c r="B788" s="17">
        <v>45519.160636574074</v>
      </c>
      <c r="C788" s="16" t="s">
        <v>216</v>
      </c>
      <c r="D788" s="16" t="s">
        <v>217</v>
      </c>
      <c r="E788" s="16" t="s">
        <v>2591</v>
      </c>
      <c r="F788" s="16" t="s">
        <v>219</v>
      </c>
      <c r="G788" s="16" t="s">
        <v>220</v>
      </c>
      <c r="H788" s="16" t="s">
        <v>232</v>
      </c>
      <c r="I788" s="16" t="s">
        <v>2592</v>
      </c>
      <c r="J788" s="16" t="s">
        <v>270</v>
      </c>
      <c r="K788" s="16" t="s">
        <v>3237</v>
      </c>
      <c r="L788" s="16" t="s">
        <v>3230</v>
      </c>
    </row>
    <row r="789" spans="1:12" x14ac:dyDescent="0.35">
      <c r="A789" s="16" t="s">
        <v>2593</v>
      </c>
      <c r="B789" s="17">
        <v>46032.238217592596</v>
      </c>
      <c r="C789" s="16" t="s">
        <v>228</v>
      </c>
      <c r="D789" s="16" t="s">
        <v>229</v>
      </c>
      <c r="E789" s="16" t="s">
        <v>2594</v>
      </c>
      <c r="F789" s="16" t="s">
        <v>219</v>
      </c>
      <c r="G789" s="16" t="s">
        <v>231</v>
      </c>
      <c r="H789" s="16" t="s">
        <v>221</v>
      </c>
      <c r="I789" s="16" t="s">
        <v>2595</v>
      </c>
      <c r="J789" s="16" t="s">
        <v>270</v>
      </c>
      <c r="K789" s="16" t="s">
        <v>3233</v>
      </c>
      <c r="L789" s="16" t="s">
        <v>3230</v>
      </c>
    </row>
    <row r="790" spans="1:12" x14ac:dyDescent="0.35">
      <c r="A790" s="16" t="s">
        <v>2596</v>
      </c>
      <c r="B790" s="17">
        <v>45574.186562499999</v>
      </c>
      <c r="C790" s="16" t="s">
        <v>228</v>
      </c>
      <c r="D790" s="16" t="s">
        <v>229</v>
      </c>
      <c r="E790" s="16" t="s">
        <v>2597</v>
      </c>
      <c r="F790" s="16" t="s">
        <v>237</v>
      </c>
      <c r="G790" s="16" t="s">
        <v>231</v>
      </c>
      <c r="H790" s="16" t="s">
        <v>238</v>
      </c>
      <c r="I790" s="16" t="s">
        <v>2598</v>
      </c>
      <c r="J790" s="16" t="s">
        <v>223</v>
      </c>
      <c r="K790" s="16" t="s">
        <v>3252</v>
      </c>
      <c r="L790" s="16" t="s">
        <v>3232</v>
      </c>
    </row>
    <row r="791" spans="1:12" x14ac:dyDescent="0.35">
      <c r="A791" s="16" t="s">
        <v>2599</v>
      </c>
      <c r="B791" s="17">
        <v>45642.129293981481</v>
      </c>
      <c r="C791" s="16" t="s">
        <v>301</v>
      </c>
      <c r="D791" s="16" t="s">
        <v>302</v>
      </c>
      <c r="E791" s="16" t="s">
        <v>2600</v>
      </c>
      <c r="F791" s="16" t="s">
        <v>237</v>
      </c>
      <c r="G791" s="16" t="s">
        <v>244</v>
      </c>
      <c r="H791" s="16" t="s">
        <v>238</v>
      </c>
      <c r="I791" s="16" t="s">
        <v>2601</v>
      </c>
      <c r="J791" s="16" t="s">
        <v>234</v>
      </c>
      <c r="K791" s="16" t="s">
        <v>3249</v>
      </c>
      <c r="L791" s="16" t="s">
        <v>3232</v>
      </c>
    </row>
    <row r="792" spans="1:12" x14ac:dyDescent="0.35">
      <c r="A792" s="16" t="s">
        <v>2602</v>
      </c>
      <c r="B792" s="17">
        <v>45759.209340277775</v>
      </c>
      <c r="C792" s="16" t="s">
        <v>228</v>
      </c>
      <c r="D792" s="16" t="s">
        <v>229</v>
      </c>
      <c r="E792" s="16" t="s">
        <v>2603</v>
      </c>
      <c r="F792" s="16" t="s">
        <v>237</v>
      </c>
      <c r="G792" s="16" t="s">
        <v>231</v>
      </c>
      <c r="H792" s="16" t="s">
        <v>273</v>
      </c>
      <c r="I792" s="16" t="s">
        <v>2604</v>
      </c>
      <c r="J792" s="16" t="s">
        <v>249</v>
      </c>
      <c r="K792" s="16" t="s">
        <v>3247</v>
      </c>
      <c r="L792" s="16" t="s">
        <v>3234</v>
      </c>
    </row>
    <row r="793" spans="1:12" x14ac:dyDescent="0.35">
      <c r="A793" s="16" t="s">
        <v>2605</v>
      </c>
      <c r="B793" s="17">
        <v>45312.784826388888</v>
      </c>
      <c r="C793" s="16" t="s">
        <v>216</v>
      </c>
      <c r="D793" s="16" t="s">
        <v>217</v>
      </c>
      <c r="E793" s="16" t="s">
        <v>2606</v>
      </c>
      <c r="F793" s="16" t="s">
        <v>69</v>
      </c>
      <c r="G793" s="16" t="s">
        <v>231</v>
      </c>
      <c r="H793" s="16" t="s">
        <v>232</v>
      </c>
      <c r="I793" s="16" t="s">
        <v>2607</v>
      </c>
      <c r="J793" s="16" t="s">
        <v>234</v>
      </c>
      <c r="K793" s="16" t="s">
        <v>3244</v>
      </c>
      <c r="L793" s="16" t="s">
        <v>3235</v>
      </c>
    </row>
    <row r="794" spans="1:12" x14ac:dyDescent="0.35">
      <c r="A794" s="16" t="s">
        <v>2608</v>
      </c>
      <c r="B794" s="17">
        <v>45367.973124999997</v>
      </c>
      <c r="C794" s="16" t="s">
        <v>260</v>
      </c>
      <c r="D794" s="16" t="s">
        <v>261</v>
      </c>
      <c r="E794" s="16" t="s">
        <v>2609</v>
      </c>
      <c r="F794" s="16" t="s">
        <v>219</v>
      </c>
      <c r="G794" s="16" t="s">
        <v>220</v>
      </c>
      <c r="H794" s="16" t="s">
        <v>221</v>
      </c>
      <c r="I794" s="16" t="s">
        <v>2610</v>
      </c>
      <c r="J794" s="16" t="s">
        <v>223</v>
      </c>
      <c r="K794" s="16" t="s">
        <v>3254</v>
      </c>
      <c r="L794" s="16" t="s">
        <v>3232</v>
      </c>
    </row>
    <row r="795" spans="1:12" x14ac:dyDescent="0.35">
      <c r="A795" s="16" t="s">
        <v>2611</v>
      </c>
      <c r="B795" s="17">
        <v>45934.522094907406</v>
      </c>
      <c r="C795" s="16" t="s">
        <v>260</v>
      </c>
      <c r="D795" s="16" t="s">
        <v>261</v>
      </c>
      <c r="E795" s="16" t="s">
        <v>2612</v>
      </c>
      <c r="F795" s="16" t="s">
        <v>237</v>
      </c>
      <c r="G795" s="16" t="s">
        <v>244</v>
      </c>
      <c r="H795" s="16" t="s">
        <v>273</v>
      </c>
      <c r="I795" s="16" t="s">
        <v>2613</v>
      </c>
      <c r="J795" s="16" t="s">
        <v>223</v>
      </c>
      <c r="K795" s="16" t="s">
        <v>3250</v>
      </c>
      <c r="L795" s="16" t="s">
        <v>3231</v>
      </c>
    </row>
    <row r="796" spans="1:12" x14ac:dyDescent="0.35">
      <c r="A796" s="16" t="s">
        <v>2614</v>
      </c>
      <c r="B796" s="17">
        <v>46197.52375</v>
      </c>
      <c r="C796" s="16" t="s">
        <v>260</v>
      </c>
      <c r="D796" s="16" t="s">
        <v>261</v>
      </c>
      <c r="E796" s="16" t="s">
        <v>2615</v>
      </c>
      <c r="F796" s="16" t="s">
        <v>237</v>
      </c>
      <c r="G796" s="16" t="s">
        <v>220</v>
      </c>
      <c r="H796" s="16" t="s">
        <v>277</v>
      </c>
      <c r="I796" s="16" t="s">
        <v>2616</v>
      </c>
      <c r="J796" s="16" t="s">
        <v>270</v>
      </c>
      <c r="K796" s="16" t="s">
        <v>3257</v>
      </c>
      <c r="L796" s="16" t="s">
        <v>3234</v>
      </c>
    </row>
    <row r="797" spans="1:12" x14ac:dyDescent="0.35">
      <c r="A797" s="16" t="s">
        <v>2617</v>
      </c>
      <c r="B797" s="17">
        <v>45550.789571759262</v>
      </c>
      <c r="C797" s="16" t="s">
        <v>241</v>
      </c>
      <c r="D797" s="16" t="s">
        <v>242</v>
      </c>
      <c r="E797" s="16" t="s">
        <v>2618</v>
      </c>
      <c r="F797" s="16" t="s">
        <v>237</v>
      </c>
      <c r="G797" s="16" t="s">
        <v>220</v>
      </c>
      <c r="H797" s="16" t="s">
        <v>238</v>
      </c>
      <c r="I797" s="16" t="s">
        <v>2619</v>
      </c>
      <c r="J797" s="16" t="s">
        <v>249</v>
      </c>
      <c r="K797" s="16" t="s">
        <v>3251</v>
      </c>
      <c r="L797" s="16" t="s">
        <v>3231</v>
      </c>
    </row>
    <row r="798" spans="1:12" x14ac:dyDescent="0.35">
      <c r="A798" s="16" t="s">
        <v>2620</v>
      </c>
      <c r="B798" s="17">
        <v>45339.042303240742</v>
      </c>
      <c r="C798" s="16" t="s">
        <v>241</v>
      </c>
      <c r="D798" s="16" t="s">
        <v>242</v>
      </c>
      <c r="E798" s="16" t="s">
        <v>2621</v>
      </c>
      <c r="F798" s="16" t="s">
        <v>219</v>
      </c>
      <c r="G798" s="16" t="s">
        <v>231</v>
      </c>
      <c r="H798" s="16" t="s">
        <v>238</v>
      </c>
      <c r="I798" s="16" t="s">
        <v>2622</v>
      </c>
      <c r="J798" s="16" t="s">
        <v>223</v>
      </c>
      <c r="K798" s="16" t="s">
        <v>3237</v>
      </c>
      <c r="L798" s="16" t="s">
        <v>3230</v>
      </c>
    </row>
    <row r="799" spans="1:12" x14ac:dyDescent="0.35">
      <c r="A799" s="16" t="s">
        <v>2623</v>
      </c>
      <c r="B799" s="17">
        <v>46055.394050925926</v>
      </c>
      <c r="C799" s="16" t="s">
        <v>241</v>
      </c>
      <c r="D799" s="16" t="s">
        <v>242</v>
      </c>
      <c r="E799" s="16" t="s">
        <v>2624</v>
      </c>
      <c r="F799" s="16" t="s">
        <v>219</v>
      </c>
      <c r="G799" s="16" t="s">
        <v>231</v>
      </c>
      <c r="H799" s="16" t="s">
        <v>221</v>
      </c>
      <c r="I799" s="16" t="s">
        <v>2625</v>
      </c>
      <c r="J799" s="16" t="s">
        <v>270</v>
      </c>
      <c r="K799" s="16" t="s">
        <v>3237</v>
      </c>
      <c r="L799" s="16" t="s">
        <v>3230</v>
      </c>
    </row>
    <row r="800" spans="1:12" x14ac:dyDescent="0.35">
      <c r="A800" s="16" t="s">
        <v>2626</v>
      </c>
      <c r="B800" s="17">
        <v>45302.687430555554</v>
      </c>
      <c r="C800" s="16" t="s">
        <v>260</v>
      </c>
      <c r="D800" s="16" t="s">
        <v>261</v>
      </c>
      <c r="E800" s="16" t="s">
        <v>2627</v>
      </c>
      <c r="F800" s="16" t="s">
        <v>69</v>
      </c>
      <c r="G800" s="16" t="s">
        <v>244</v>
      </c>
      <c r="H800" s="16" t="s">
        <v>238</v>
      </c>
      <c r="I800" s="16" t="s">
        <v>2628</v>
      </c>
      <c r="J800" s="16" t="s">
        <v>234</v>
      </c>
      <c r="K800" s="16" t="s">
        <v>3233</v>
      </c>
      <c r="L800" s="16" t="s">
        <v>3230</v>
      </c>
    </row>
    <row r="801" spans="1:12" x14ac:dyDescent="0.35">
      <c r="A801" s="16" t="s">
        <v>2629</v>
      </c>
      <c r="B801" s="17">
        <v>45578.572928240741</v>
      </c>
      <c r="C801" s="16" t="s">
        <v>301</v>
      </c>
      <c r="D801" s="16" t="s">
        <v>302</v>
      </c>
      <c r="E801" s="16" t="s">
        <v>2630</v>
      </c>
      <c r="F801" s="16" t="s">
        <v>219</v>
      </c>
      <c r="G801" s="16" t="s">
        <v>220</v>
      </c>
      <c r="H801" s="16" t="s">
        <v>238</v>
      </c>
      <c r="I801" s="16" t="s">
        <v>2631</v>
      </c>
      <c r="J801" s="16" t="s">
        <v>234</v>
      </c>
      <c r="K801" s="16" t="s">
        <v>3253</v>
      </c>
      <c r="L801" s="16" t="s">
        <v>3234</v>
      </c>
    </row>
    <row r="802" spans="1:12" x14ac:dyDescent="0.35">
      <c r="A802" s="16" t="s">
        <v>2632</v>
      </c>
      <c r="B802" s="17">
        <v>45592.645787037036</v>
      </c>
      <c r="C802" s="16" t="s">
        <v>301</v>
      </c>
      <c r="D802" s="16" t="s">
        <v>302</v>
      </c>
      <c r="E802" s="16" t="s">
        <v>2633</v>
      </c>
      <c r="F802" s="16" t="s">
        <v>69</v>
      </c>
      <c r="G802" s="16" t="s">
        <v>220</v>
      </c>
      <c r="H802" s="16" t="s">
        <v>232</v>
      </c>
      <c r="I802" s="16" t="s">
        <v>2634</v>
      </c>
      <c r="J802" s="16" t="s">
        <v>234</v>
      </c>
      <c r="K802" s="16" t="s">
        <v>3251</v>
      </c>
      <c r="L802" s="16" t="s">
        <v>3231</v>
      </c>
    </row>
    <row r="803" spans="1:12" x14ac:dyDescent="0.35">
      <c r="A803" s="16" t="s">
        <v>2635</v>
      </c>
      <c r="B803" s="17">
        <v>45451.560231481482</v>
      </c>
      <c r="C803" s="16" t="s">
        <v>260</v>
      </c>
      <c r="D803" s="16" t="s">
        <v>261</v>
      </c>
      <c r="E803" s="16" t="s">
        <v>2636</v>
      </c>
      <c r="F803" s="16" t="s">
        <v>219</v>
      </c>
      <c r="G803" s="16" t="s">
        <v>231</v>
      </c>
      <c r="H803" s="16" t="s">
        <v>277</v>
      </c>
      <c r="I803" s="16" t="s">
        <v>2637</v>
      </c>
      <c r="J803" s="16" t="s">
        <v>249</v>
      </c>
      <c r="K803" s="16" t="s">
        <v>3254</v>
      </c>
      <c r="L803" s="16" t="s">
        <v>3232</v>
      </c>
    </row>
    <row r="804" spans="1:12" x14ac:dyDescent="0.35">
      <c r="A804" s="16" t="s">
        <v>2638</v>
      </c>
      <c r="B804" s="17">
        <v>46193.742650462962</v>
      </c>
      <c r="C804" s="16" t="s">
        <v>241</v>
      </c>
      <c r="D804" s="16" t="s">
        <v>242</v>
      </c>
      <c r="E804" s="16" t="s">
        <v>2639</v>
      </c>
      <c r="F804" s="16" t="s">
        <v>69</v>
      </c>
      <c r="G804" s="16" t="s">
        <v>220</v>
      </c>
      <c r="H804" s="16" t="s">
        <v>232</v>
      </c>
      <c r="I804" s="16" t="s">
        <v>2640</v>
      </c>
      <c r="J804" s="16" t="s">
        <v>223</v>
      </c>
      <c r="K804" s="16" t="s">
        <v>3233</v>
      </c>
      <c r="L804" s="16" t="s">
        <v>3230</v>
      </c>
    </row>
    <row r="805" spans="1:12" x14ac:dyDescent="0.35">
      <c r="A805" s="16" t="s">
        <v>2641</v>
      </c>
      <c r="B805" s="17">
        <v>46375.179097222222</v>
      </c>
      <c r="C805" s="16" t="s">
        <v>260</v>
      </c>
      <c r="D805" s="16" t="s">
        <v>261</v>
      </c>
      <c r="E805" s="16" t="s">
        <v>2642</v>
      </c>
      <c r="F805" s="16" t="s">
        <v>237</v>
      </c>
      <c r="G805" s="16" t="s">
        <v>231</v>
      </c>
      <c r="H805" s="16" t="s">
        <v>277</v>
      </c>
      <c r="I805" s="16" t="s">
        <v>2643</v>
      </c>
      <c r="J805" s="16" t="s">
        <v>234</v>
      </c>
      <c r="K805" s="16" t="s">
        <v>3254</v>
      </c>
      <c r="L805" s="16" t="s">
        <v>3232</v>
      </c>
    </row>
    <row r="806" spans="1:12" x14ac:dyDescent="0.35">
      <c r="A806" s="16" t="s">
        <v>2644</v>
      </c>
      <c r="B806" s="17">
        <v>46128.167372685188</v>
      </c>
      <c r="C806" s="16" t="s">
        <v>241</v>
      </c>
      <c r="D806" s="16" t="s">
        <v>242</v>
      </c>
      <c r="E806" s="16" t="s">
        <v>2645</v>
      </c>
      <c r="F806" s="16" t="s">
        <v>237</v>
      </c>
      <c r="G806" s="16" t="s">
        <v>244</v>
      </c>
      <c r="H806" s="16" t="s">
        <v>238</v>
      </c>
      <c r="I806" s="16" t="s">
        <v>2646</v>
      </c>
      <c r="J806" s="16" t="s">
        <v>234</v>
      </c>
      <c r="K806" s="16" t="s">
        <v>3256</v>
      </c>
      <c r="L806" s="16" t="s">
        <v>3231</v>
      </c>
    </row>
    <row r="807" spans="1:12" x14ac:dyDescent="0.35">
      <c r="A807" s="16" t="s">
        <v>2647</v>
      </c>
      <c r="B807" s="17">
        <v>46058.460046296299</v>
      </c>
      <c r="C807" s="16" t="s">
        <v>216</v>
      </c>
      <c r="D807" s="16" t="s">
        <v>217</v>
      </c>
      <c r="E807" s="16" t="s">
        <v>2648</v>
      </c>
      <c r="F807" s="16" t="s">
        <v>237</v>
      </c>
      <c r="G807" s="16" t="s">
        <v>220</v>
      </c>
      <c r="H807" s="16" t="s">
        <v>238</v>
      </c>
      <c r="I807" s="16" t="s">
        <v>2649</v>
      </c>
      <c r="J807" s="16" t="s">
        <v>223</v>
      </c>
      <c r="K807" s="16" t="s">
        <v>3245</v>
      </c>
      <c r="L807" s="16" t="s">
        <v>3232</v>
      </c>
    </row>
    <row r="808" spans="1:12" x14ac:dyDescent="0.35">
      <c r="A808" s="16" t="s">
        <v>2650</v>
      </c>
      <c r="B808" s="17">
        <v>45733.277731481481</v>
      </c>
      <c r="C808" s="16" t="s">
        <v>216</v>
      </c>
      <c r="D808" s="16" t="s">
        <v>217</v>
      </c>
      <c r="E808" s="16" t="s">
        <v>2651</v>
      </c>
      <c r="F808" s="16" t="s">
        <v>69</v>
      </c>
      <c r="G808" s="16" t="s">
        <v>220</v>
      </c>
      <c r="H808" s="16" t="s">
        <v>238</v>
      </c>
      <c r="I808" s="16" t="s">
        <v>2652</v>
      </c>
      <c r="J808" s="16" t="s">
        <v>270</v>
      </c>
      <c r="K808" s="16" t="s">
        <v>3237</v>
      </c>
      <c r="L808" s="16" t="s">
        <v>3230</v>
      </c>
    </row>
    <row r="809" spans="1:12" x14ac:dyDescent="0.35">
      <c r="A809" s="16" t="s">
        <v>2653</v>
      </c>
      <c r="B809" s="17">
        <v>45926.858275462961</v>
      </c>
      <c r="C809" s="16" t="s">
        <v>216</v>
      </c>
      <c r="D809" s="16" t="s">
        <v>217</v>
      </c>
      <c r="E809" s="16" t="s">
        <v>2654</v>
      </c>
      <c r="F809" s="16" t="s">
        <v>237</v>
      </c>
      <c r="G809" s="16" t="s">
        <v>231</v>
      </c>
      <c r="H809" s="16" t="s">
        <v>232</v>
      </c>
      <c r="I809" s="16" t="s">
        <v>2655</v>
      </c>
      <c r="J809" s="16" t="s">
        <v>234</v>
      </c>
      <c r="K809" s="16" t="s">
        <v>3239</v>
      </c>
      <c r="L809" s="16" t="s">
        <v>3235</v>
      </c>
    </row>
    <row r="810" spans="1:12" x14ac:dyDescent="0.35">
      <c r="A810" s="16" t="s">
        <v>2656</v>
      </c>
      <c r="B810" s="17">
        <v>46213.681261574071</v>
      </c>
      <c r="C810" s="16" t="s">
        <v>228</v>
      </c>
      <c r="D810" s="16" t="s">
        <v>229</v>
      </c>
      <c r="E810" s="16" t="s">
        <v>2657</v>
      </c>
      <c r="F810" s="16" t="s">
        <v>219</v>
      </c>
      <c r="G810" s="16" t="s">
        <v>231</v>
      </c>
      <c r="H810" s="16" t="s">
        <v>273</v>
      </c>
      <c r="I810" s="16" t="s">
        <v>2658</v>
      </c>
      <c r="J810" s="16" t="s">
        <v>223</v>
      </c>
      <c r="K810" s="16" t="s">
        <v>3241</v>
      </c>
      <c r="L810" s="16" t="s">
        <v>3231</v>
      </c>
    </row>
    <row r="811" spans="1:12" x14ac:dyDescent="0.35">
      <c r="A811" s="16" t="s">
        <v>2659</v>
      </c>
      <c r="B811" s="17">
        <v>45986.820706018516</v>
      </c>
      <c r="C811" s="16" t="s">
        <v>260</v>
      </c>
      <c r="D811" s="16" t="s">
        <v>261</v>
      </c>
      <c r="E811" s="16" t="s">
        <v>2660</v>
      </c>
      <c r="F811" s="16" t="s">
        <v>219</v>
      </c>
      <c r="G811" s="16" t="s">
        <v>231</v>
      </c>
      <c r="H811" s="16" t="s">
        <v>277</v>
      </c>
      <c r="I811" s="16" t="s">
        <v>2661</v>
      </c>
      <c r="J811" s="16" t="s">
        <v>270</v>
      </c>
      <c r="K811" s="16" t="s">
        <v>3259</v>
      </c>
      <c r="L811" s="16" t="s">
        <v>3235</v>
      </c>
    </row>
    <row r="812" spans="1:12" x14ac:dyDescent="0.35">
      <c r="A812" s="16" t="s">
        <v>2662</v>
      </c>
      <c r="B812" s="17">
        <v>45924.851122685184</v>
      </c>
      <c r="C812" s="16" t="s">
        <v>228</v>
      </c>
      <c r="D812" s="16" t="s">
        <v>229</v>
      </c>
      <c r="E812" s="16" t="s">
        <v>2663</v>
      </c>
      <c r="F812" s="16" t="s">
        <v>69</v>
      </c>
      <c r="G812" s="16" t="s">
        <v>244</v>
      </c>
      <c r="H812" s="16" t="s">
        <v>221</v>
      </c>
      <c r="I812" s="16" t="s">
        <v>2664</v>
      </c>
      <c r="J812" s="16" t="s">
        <v>270</v>
      </c>
      <c r="K812" s="16" t="s">
        <v>3247</v>
      </c>
      <c r="L812" s="16" t="s">
        <v>3234</v>
      </c>
    </row>
    <row r="813" spans="1:12" x14ac:dyDescent="0.35">
      <c r="A813" s="16" t="s">
        <v>2665</v>
      </c>
      <c r="B813" s="17">
        <v>46266.762511574074</v>
      </c>
      <c r="C813" s="16" t="s">
        <v>241</v>
      </c>
      <c r="D813" s="16" t="s">
        <v>242</v>
      </c>
      <c r="E813" s="16" t="s">
        <v>2666</v>
      </c>
      <c r="F813" s="16" t="s">
        <v>69</v>
      </c>
      <c r="G813" s="16" t="s">
        <v>244</v>
      </c>
      <c r="H813" s="16" t="s">
        <v>273</v>
      </c>
      <c r="I813" s="16" t="s">
        <v>2667</v>
      </c>
      <c r="J813" s="16" t="s">
        <v>270</v>
      </c>
      <c r="K813" s="16" t="s">
        <v>3248</v>
      </c>
      <c r="L813" s="16" t="s">
        <v>3231</v>
      </c>
    </row>
    <row r="814" spans="1:12" x14ac:dyDescent="0.35">
      <c r="A814" s="16" t="s">
        <v>2668</v>
      </c>
      <c r="B814" s="17">
        <v>46201.12840277778</v>
      </c>
      <c r="C814" s="16" t="s">
        <v>301</v>
      </c>
      <c r="D814" s="16" t="s">
        <v>302</v>
      </c>
      <c r="E814" s="16" t="s">
        <v>2669</v>
      </c>
      <c r="F814" s="16" t="s">
        <v>219</v>
      </c>
      <c r="G814" s="16" t="s">
        <v>231</v>
      </c>
      <c r="H814" s="16" t="s">
        <v>277</v>
      </c>
      <c r="I814" s="16" t="s">
        <v>2670</v>
      </c>
      <c r="J814" s="16" t="s">
        <v>270</v>
      </c>
      <c r="K814" s="16" t="s">
        <v>3250</v>
      </c>
      <c r="L814" s="16" t="s">
        <v>3231</v>
      </c>
    </row>
    <row r="815" spans="1:12" x14ac:dyDescent="0.35">
      <c r="A815" s="16" t="s">
        <v>2671</v>
      </c>
      <c r="B815" s="17">
        <v>46187.273831018516</v>
      </c>
      <c r="C815" s="16" t="s">
        <v>260</v>
      </c>
      <c r="D815" s="16" t="s">
        <v>261</v>
      </c>
      <c r="E815" s="16" t="s">
        <v>2672</v>
      </c>
      <c r="F815" s="16" t="s">
        <v>69</v>
      </c>
      <c r="G815" s="16" t="s">
        <v>244</v>
      </c>
      <c r="H815" s="16" t="s">
        <v>221</v>
      </c>
      <c r="I815" s="16" t="s">
        <v>2673</v>
      </c>
      <c r="J815" s="16" t="s">
        <v>249</v>
      </c>
      <c r="K815" s="16" t="s">
        <v>3242</v>
      </c>
      <c r="L815" s="16" t="s">
        <v>3232</v>
      </c>
    </row>
    <row r="816" spans="1:12" x14ac:dyDescent="0.35">
      <c r="A816" s="16" t="s">
        <v>2674</v>
      </c>
      <c r="B816" s="17">
        <v>45636.432881944442</v>
      </c>
      <c r="C816" s="16" t="s">
        <v>216</v>
      </c>
      <c r="D816" s="16" t="s">
        <v>217</v>
      </c>
      <c r="E816" s="16" t="s">
        <v>2675</v>
      </c>
      <c r="F816" s="16" t="s">
        <v>69</v>
      </c>
      <c r="G816" s="16" t="s">
        <v>231</v>
      </c>
      <c r="H816" s="16" t="s">
        <v>221</v>
      </c>
      <c r="I816" s="16" t="s">
        <v>2676</v>
      </c>
      <c r="J816" s="16" t="s">
        <v>249</v>
      </c>
      <c r="K816" s="16" t="s">
        <v>3256</v>
      </c>
      <c r="L816" s="16" t="s">
        <v>3231</v>
      </c>
    </row>
    <row r="817" spans="1:12" x14ac:dyDescent="0.35">
      <c r="A817" s="16" t="s">
        <v>2677</v>
      </c>
      <c r="B817" s="17">
        <v>45958.275277777779</v>
      </c>
      <c r="C817" s="16" t="s">
        <v>260</v>
      </c>
      <c r="D817" s="16" t="s">
        <v>261</v>
      </c>
      <c r="E817" s="16" t="s">
        <v>2678</v>
      </c>
      <c r="F817" s="16" t="s">
        <v>219</v>
      </c>
      <c r="G817" s="16" t="s">
        <v>220</v>
      </c>
      <c r="H817" s="16" t="s">
        <v>277</v>
      </c>
      <c r="I817" s="16" t="s">
        <v>2679</v>
      </c>
      <c r="J817" s="16" t="s">
        <v>270</v>
      </c>
      <c r="K817" s="16" t="s">
        <v>3242</v>
      </c>
      <c r="L817" s="16" t="s">
        <v>3232</v>
      </c>
    </row>
    <row r="818" spans="1:12" x14ac:dyDescent="0.35">
      <c r="A818" s="16" t="s">
        <v>2680</v>
      </c>
      <c r="B818" s="17">
        <v>45955.391284722224</v>
      </c>
      <c r="C818" s="16" t="s">
        <v>301</v>
      </c>
      <c r="D818" s="16" t="s">
        <v>302</v>
      </c>
      <c r="E818" s="16" t="s">
        <v>2681</v>
      </c>
      <c r="F818" s="16" t="s">
        <v>69</v>
      </c>
      <c r="G818" s="16" t="s">
        <v>220</v>
      </c>
      <c r="H818" s="16" t="s">
        <v>277</v>
      </c>
      <c r="I818" s="16" t="s">
        <v>2682</v>
      </c>
      <c r="J818" s="16" t="s">
        <v>234</v>
      </c>
      <c r="K818" s="16" t="s">
        <v>3242</v>
      </c>
      <c r="L818" s="16" t="s">
        <v>3232</v>
      </c>
    </row>
    <row r="819" spans="1:12" x14ac:dyDescent="0.35">
      <c r="A819" s="16" t="s">
        <v>2683</v>
      </c>
      <c r="B819" s="17">
        <v>46080.174571759257</v>
      </c>
      <c r="C819" s="16" t="s">
        <v>260</v>
      </c>
      <c r="D819" s="16" t="s">
        <v>261</v>
      </c>
      <c r="E819" s="16" t="s">
        <v>2684</v>
      </c>
      <c r="F819" s="16" t="s">
        <v>69</v>
      </c>
      <c r="G819" s="16" t="s">
        <v>231</v>
      </c>
      <c r="H819" s="16" t="s">
        <v>273</v>
      </c>
      <c r="I819" s="16" t="s">
        <v>2685</v>
      </c>
      <c r="J819" s="16" t="s">
        <v>223</v>
      </c>
      <c r="K819" s="16" t="s">
        <v>3237</v>
      </c>
      <c r="L819" s="16" t="s">
        <v>3230</v>
      </c>
    </row>
    <row r="820" spans="1:12" x14ac:dyDescent="0.35">
      <c r="A820" s="16" t="s">
        <v>2686</v>
      </c>
      <c r="B820" s="17">
        <v>46126.961099537039</v>
      </c>
      <c r="C820" s="16" t="s">
        <v>216</v>
      </c>
      <c r="D820" s="16" t="s">
        <v>217</v>
      </c>
      <c r="E820" s="16" t="s">
        <v>2687</v>
      </c>
      <c r="F820" s="16" t="s">
        <v>69</v>
      </c>
      <c r="G820" s="16" t="s">
        <v>231</v>
      </c>
      <c r="H820" s="16" t="s">
        <v>232</v>
      </c>
      <c r="I820" s="16" t="s">
        <v>2688</v>
      </c>
      <c r="J820" s="16" t="s">
        <v>234</v>
      </c>
      <c r="K820" s="16" t="s">
        <v>3233</v>
      </c>
      <c r="L820" s="16" t="s">
        <v>3230</v>
      </c>
    </row>
    <row r="821" spans="1:12" x14ac:dyDescent="0.35">
      <c r="A821" s="16" t="s">
        <v>2689</v>
      </c>
      <c r="B821" s="17">
        <v>46205.127291666664</v>
      </c>
      <c r="C821" s="16" t="s">
        <v>301</v>
      </c>
      <c r="D821" s="16" t="s">
        <v>302</v>
      </c>
      <c r="E821" s="16" t="s">
        <v>2690</v>
      </c>
      <c r="F821" s="16" t="s">
        <v>219</v>
      </c>
      <c r="G821" s="16" t="s">
        <v>220</v>
      </c>
      <c r="H821" s="16" t="s">
        <v>273</v>
      </c>
      <c r="I821" s="16" t="s">
        <v>2691</v>
      </c>
      <c r="J821" s="16" t="s">
        <v>234</v>
      </c>
      <c r="K821" s="16" t="s">
        <v>3244</v>
      </c>
      <c r="L821" s="16" t="s">
        <v>3235</v>
      </c>
    </row>
    <row r="822" spans="1:12" x14ac:dyDescent="0.35">
      <c r="A822" s="16" t="s">
        <v>2692</v>
      </c>
      <c r="B822" s="17">
        <v>46217.063391203701</v>
      </c>
      <c r="C822" s="16" t="s">
        <v>228</v>
      </c>
      <c r="D822" s="16" t="s">
        <v>229</v>
      </c>
      <c r="E822" s="16" t="s">
        <v>2693</v>
      </c>
      <c r="F822" s="16" t="s">
        <v>237</v>
      </c>
      <c r="G822" s="16" t="s">
        <v>244</v>
      </c>
      <c r="H822" s="16" t="s">
        <v>273</v>
      </c>
      <c r="I822" s="16" t="s">
        <v>2694</v>
      </c>
      <c r="J822" s="16" t="s">
        <v>234</v>
      </c>
      <c r="K822" s="16" t="s">
        <v>3237</v>
      </c>
      <c r="L822" s="16" t="s">
        <v>3230</v>
      </c>
    </row>
    <row r="823" spans="1:12" x14ac:dyDescent="0.35">
      <c r="A823" s="16" t="s">
        <v>2695</v>
      </c>
      <c r="B823" s="17">
        <v>45851.90697916667</v>
      </c>
      <c r="C823" s="16" t="s">
        <v>216</v>
      </c>
      <c r="D823" s="16" t="s">
        <v>217</v>
      </c>
      <c r="E823" s="16" t="s">
        <v>2696</v>
      </c>
      <c r="F823" s="16" t="s">
        <v>219</v>
      </c>
      <c r="G823" s="16" t="s">
        <v>231</v>
      </c>
      <c r="H823" s="16" t="s">
        <v>221</v>
      </c>
      <c r="I823" s="16" t="s">
        <v>2697</v>
      </c>
      <c r="J823" s="16" t="s">
        <v>234</v>
      </c>
      <c r="K823" s="16" t="s">
        <v>3255</v>
      </c>
      <c r="L823" s="16" t="s">
        <v>3235</v>
      </c>
    </row>
    <row r="824" spans="1:12" x14ac:dyDescent="0.35">
      <c r="A824" s="16" t="s">
        <v>2698</v>
      </c>
      <c r="B824" s="17">
        <v>45385.244872685187</v>
      </c>
      <c r="C824" s="16" t="s">
        <v>241</v>
      </c>
      <c r="D824" s="16" t="s">
        <v>242</v>
      </c>
      <c r="E824" s="16" t="s">
        <v>2699</v>
      </c>
      <c r="F824" s="16" t="s">
        <v>219</v>
      </c>
      <c r="G824" s="16" t="s">
        <v>220</v>
      </c>
      <c r="H824" s="16" t="s">
        <v>273</v>
      </c>
      <c r="I824" s="16" t="s">
        <v>2700</v>
      </c>
      <c r="J824" s="16" t="s">
        <v>223</v>
      </c>
      <c r="K824" s="16" t="s">
        <v>3239</v>
      </c>
      <c r="L824" s="16" t="s">
        <v>3235</v>
      </c>
    </row>
    <row r="825" spans="1:12" x14ac:dyDescent="0.35">
      <c r="A825" s="16" t="s">
        <v>2701</v>
      </c>
      <c r="B825" s="17">
        <v>45864.655300925922</v>
      </c>
      <c r="C825" s="16" t="s">
        <v>216</v>
      </c>
      <c r="D825" s="16" t="s">
        <v>217</v>
      </c>
      <c r="E825" s="16" t="s">
        <v>2702</v>
      </c>
      <c r="F825" s="16" t="s">
        <v>219</v>
      </c>
      <c r="G825" s="16" t="s">
        <v>244</v>
      </c>
      <c r="H825" s="16" t="s">
        <v>277</v>
      </c>
      <c r="I825" s="16" t="s">
        <v>2703</v>
      </c>
      <c r="J825" s="16" t="s">
        <v>249</v>
      </c>
      <c r="K825" s="16" t="s">
        <v>3242</v>
      </c>
      <c r="L825" s="16" t="s">
        <v>3232</v>
      </c>
    </row>
    <row r="826" spans="1:12" x14ac:dyDescent="0.35">
      <c r="A826" s="16" t="s">
        <v>2704</v>
      </c>
      <c r="B826" s="17">
        <v>45795.487928240742</v>
      </c>
      <c r="C826" s="16" t="s">
        <v>301</v>
      </c>
      <c r="D826" s="16" t="s">
        <v>302</v>
      </c>
      <c r="E826" s="16" t="s">
        <v>2705</v>
      </c>
      <c r="F826" s="16" t="s">
        <v>69</v>
      </c>
      <c r="G826" s="16" t="s">
        <v>231</v>
      </c>
      <c r="H826" s="16" t="s">
        <v>232</v>
      </c>
      <c r="I826" s="16" t="s">
        <v>691</v>
      </c>
      <c r="J826" s="16" t="s">
        <v>234</v>
      </c>
      <c r="K826" s="16" t="s">
        <v>3245</v>
      </c>
      <c r="L826" s="16" t="s">
        <v>3232</v>
      </c>
    </row>
    <row r="827" spans="1:12" x14ac:dyDescent="0.35">
      <c r="A827" s="16" t="s">
        <v>2706</v>
      </c>
      <c r="B827" s="17">
        <v>45300.014525462961</v>
      </c>
      <c r="C827" s="16" t="s">
        <v>216</v>
      </c>
      <c r="D827" s="16" t="s">
        <v>217</v>
      </c>
      <c r="E827" s="16" t="s">
        <v>2707</v>
      </c>
      <c r="F827" s="16" t="s">
        <v>69</v>
      </c>
      <c r="G827" s="16" t="s">
        <v>231</v>
      </c>
      <c r="H827" s="16" t="s">
        <v>273</v>
      </c>
      <c r="I827" s="16" t="s">
        <v>2708</v>
      </c>
      <c r="J827" s="16" t="s">
        <v>270</v>
      </c>
      <c r="K827" s="16" t="s">
        <v>3249</v>
      </c>
      <c r="L827" s="16" t="s">
        <v>3232</v>
      </c>
    </row>
    <row r="828" spans="1:12" x14ac:dyDescent="0.35">
      <c r="A828" s="16" t="s">
        <v>2709</v>
      </c>
      <c r="B828" s="17">
        <v>46203.187222222223</v>
      </c>
      <c r="C828" s="16" t="s">
        <v>216</v>
      </c>
      <c r="D828" s="16" t="s">
        <v>217</v>
      </c>
      <c r="E828" s="16" t="s">
        <v>2710</v>
      </c>
      <c r="F828" s="16" t="s">
        <v>237</v>
      </c>
      <c r="G828" s="16" t="s">
        <v>244</v>
      </c>
      <c r="H828" s="16" t="s">
        <v>273</v>
      </c>
      <c r="I828" s="16" t="s">
        <v>2711</v>
      </c>
      <c r="J828" s="16" t="s">
        <v>234</v>
      </c>
      <c r="K828" s="16" t="s">
        <v>3236</v>
      </c>
      <c r="L828" s="16" t="s">
        <v>3230</v>
      </c>
    </row>
    <row r="829" spans="1:12" x14ac:dyDescent="0.35">
      <c r="A829" s="16" t="s">
        <v>2712</v>
      </c>
      <c r="B829" s="17">
        <v>46050.292766203704</v>
      </c>
      <c r="C829" s="16" t="s">
        <v>216</v>
      </c>
      <c r="D829" s="16" t="s">
        <v>217</v>
      </c>
      <c r="E829" s="16" t="s">
        <v>2713</v>
      </c>
      <c r="F829" s="16" t="s">
        <v>69</v>
      </c>
      <c r="G829" s="16" t="s">
        <v>220</v>
      </c>
      <c r="H829" s="16" t="s">
        <v>221</v>
      </c>
      <c r="I829" s="16" t="s">
        <v>2714</v>
      </c>
      <c r="J829" s="16" t="s">
        <v>249</v>
      </c>
      <c r="K829" s="16" t="s">
        <v>3241</v>
      </c>
      <c r="L829" s="16" t="s">
        <v>3231</v>
      </c>
    </row>
    <row r="830" spans="1:12" x14ac:dyDescent="0.35">
      <c r="A830" s="16" t="s">
        <v>2715</v>
      </c>
      <c r="B830" s="17">
        <v>45912.335486111115</v>
      </c>
      <c r="C830" s="16" t="s">
        <v>228</v>
      </c>
      <c r="D830" s="16" t="s">
        <v>229</v>
      </c>
      <c r="E830" s="16" t="s">
        <v>2716</v>
      </c>
      <c r="F830" s="16" t="s">
        <v>237</v>
      </c>
      <c r="G830" s="16" t="s">
        <v>231</v>
      </c>
      <c r="H830" s="16" t="s">
        <v>221</v>
      </c>
      <c r="I830" s="16" t="s">
        <v>2717</v>
      </c>
      <c r="J830" s="16" t="s">
        <v>223</v>
      </c>
      <c r="K830" s="16" t="s">
        <v>3247</v>
      </c>
      <c r="L830" s="16" t="s">
        <v>3234</v>
      </c>
    </row>
    <row r="831" spans="1:12" x14ac:dyDescent="0.35">
      <c r="A831" s="16" t="s">
        <v>2718</v>
      </c>
      <c r="B831" s="17">
        <v>45693.968530092592</v>
      </c>
      <c r="C831" s="16" t="s">
        <v>241</v>
      </c>
      <c r="D831" s="16" t="s">
        <v>242</v>
      </c>
      <c r="E831" s="16" t="s">
        <v>2719</v>
      </c>
      <c r="F831" s="16" t="s">
        <v>69</v>
      </c>
      <c r="G831" s="16" t="s">
        <v>231</v>
      </c>
      <c r="H831" s="16" t="s">
        <v>277</v>
      </c>
      <c r="I831" s="16" t="s">
        <v>2720</v>
      </c>
      <c r="J831" s="16" t="s">
        <v>234</v>
      </c>
      <c r="K831" s="16" t="s">
        <v>3256</v>
      </c>
      <c r="L831" s="16" t="s">
        <v>3231</v>
      </c>
    </row>
    <row r="832" spans="1:12" x14ac:dyDescent="0.35">
      <c r="A832" s="16" t="s">
        <v>2721</v>
      </c>
      <c r="B832" s="17">
        <v>45651.099143518521</v>
      </c>
      <c r="C832" s="16" t="s">
        <v>241</v>
      </c>
      <c r="D832" s="16" t="s">
        <v>242</v>
      </c>
      <c r="E832" s="16" t="s">
        <v>2722</v>
      </c>
      <c r="F832" s="16" t="s">
        <v>69</v>
      </c>
      <c r="G832" s="16" t="s">
        <v>244</v>
      </c>
      <c r="H832" s="16" t="s">
        <v>277</v>
      </c>
      <c r="I832" s="16" t="s">
        <v>2723</v>
      </c>
      <c r="J832" s="16" t="s">
        <v>249</v>
      </c>
      <c r="K832" s="16" t="s">
        <v>3245</v>
      </c>
      <c r="L832" s="16" t="s">
        <v>3232</v>
      </c>
    </row>
    <row r="833" spans="1:12" x14ac:dyDescent="0.35">
      <c r="A833" s="16" t="s">
        <v>2724</v>
      </c>
      <c r="B833" s="17">
        <v>45853.291041666664</v>
      </c>
      <c r="C833" s="16" t="s">
        <v>241</v>
      </c>
      <c r="D833" s="16" t="s">
        <v>242</v>
      </c>
      <c r="E833" s="16" t="s">
        <v>2725</v>
      </c>
      <c r="F833" s="16" t="s">
        <v>69</v>
      </c>
      <c r="G833" s="16" t="s">
        <v>244</v>
      </c>
      <c r="H833" s="16" t="s">
        <v>277</v>
      </c>
      <c r="I833" s="16" t="s">
        <v>2726</v>
      </c>
      <c r="J833" s="16" t="s">
        <v>249</v>
      </c>
      <c r="K833" s="16" t="s">
        <v>3254</v>
      </c>
      <c r="L833" s="16" t="s">
        <v>3232</v>
      </c>
    </row>
    <row r="834" spans="1:12" x14ac:dyDescent="0.35">
      <c r="A834" s="16" t="s">
        <v>2727</v>
      </c>
      <c r="B834" s="17">
        <v>46166.972361111111</v>
      </c>
      <c r="C834" s="16" t="s">
        <v>241</v>
      </c>
      <c r="D834" s="16" t="s">
        <v>242</v>
      </c>
      <c r="E834" s="16" t="s">
        <v>2728</v>
      </c>
      <c r="F834" s="16" t="s">
        <v>219</v>
      </c>
      <c r="G834" s="16" t="s">
        <v>220</v>
      </c>
      <c r="H834" s="16" t="s">
        <v>232</v>
      </c>
      <c r="I834" s="16" t="s">
        <v>2729</v>
      </c>
      <c r="J834" s="16" t="s">
        <v>223</v>
      </c>
      <c r="K834" s="16" t="s">
        <v>3246</v>
      </c>
      <c r="L834" s="16" t="s">
        <v>3234</v>
      </c>
    </row>
    <row r="835" spans="1:12" x14ac:dyDescent="0.35">
      <c r="A835" s="16" t="s">
        <v>2730</v>
      </c>
      <c r="B835" s="17">
        <v>46247.751793981479</v>
      </c>
      <c r="C835" s="16" t="s">
        <v>301</v>
      </c>
      <c r="D835" s="16" t="s">
        <v>302</v>
      </c>
      <c r="E835" s="16" t="s">
        <v>2731</v>
      </c>
      <c r="F835" s="16" t="s">
        <v>219</v>
      </c>
      <c r="G835" s="16" t="s">
        <v>220</v>
      </c>
      <c r="H835" s="16" t="s">
        <v>221</v>
      </c>
      <c r="I835" s="16" t="s">
        <v>2732</v>
      </c>
      <c r="J835" s="16" t="s">
        <v>249</v>
      </c>
      <c r="K835" s="16" t="s">
        <v>3251</v>
      </c>
      <c r="L835" s="16" t="s">
        <v>3231</v>
      </c>
    </row>
    <row r="836" spans="1:12" x14ac:dyDescent="0.35">
      <c r="A836" s="16" t="s">
        <v>2733</v>
      </c>
      <c r="B836" s="17">
        <v>45939.007824074077</v>
      </c>
      <c r="C836" s="16" t="s">
        <v>260</v>
      </c>
      <c r="D836" s="16" t="s">
        <v>261</v>
      </c>
      <c r="E836" s="16" t="s">
        <v>2734</v>
      </c>
      <c r="F836" s="16" t="s">
        <v>69</v>
      </c>
      <c r="G836" s="16" t="s">
        <v>231</v>
      </c>
      <c r="H836" s="16" t="s">
        <v>273</v>
      </c>
      <c r="I836" s="16" t="s">
        <v>2735</v>
      </c>
      <c r="J836" s="16" t="s">
        <v>270</v>
      </c>
      <c r="K836" s="16" t="s">
        <v>3257</v>
      </c>
      <c r="L836" s="16" t="s">
        <v>3234</v>
      </c>
    </row>
    <row r="837" spans="1:12" x14ac:dyDescent="0.35">
      <c r="A837" s="16" t="s">
        <v>2736</v>
      </c>
      <c r="B837" s="17">
        <v>45803.298668981479</v>
      </c>
      <c r="C837" s="16" t="s">
        <v>228</v>
      </c>
      <c r="D837" s="16" t="s">
        <v>229</v>
      </c>
      <c r="E837" s="16" t="s">
        <v>2737</v>
      </c>
      <c r="F837" s="16" t="s">
        <v>237</v>
      </c>
      <c r="G837" s="16" t="s">
        <v>231</v>
      </c>
      <c r="H837" s="16" t="s">
        <v>232</v>
      </c>
      <c r="I837" s="16" t="s">
        <v>2738</v>
      </c>
      <c r="J837" s="16" t="s">
        <v>270</v>
      </c>
      <c r="K837" s="16" t="s">
        <v>3256</v>
      </c>
      <c r="L837" s="16" t="s">
        <v>3231</v>
      </c>
    </row>
    <row r="838" spans="1:12" x14ac:dyDescent="0.35">
      <c r="A838" s="16" t="s">
        <v>2739</v>
      </c>
      <c r="B838" s="17">
        <v>45341.898888888885</v>
      </c>
      <c r="C838" s="16" t="s">
        <v>216</v>
      </c>
      <c r="D838" s="16" t="s">
        <v>217</v>
      </c>
      <c r="E838" s="16" t="s">
        <v>2740</v>
      </c>
      <c r="F838" s="16" t="s">
        <v>237</v>
      </c>
      <c r="G838" s="16" t="s">
        <v>231</v>
      </c>
      <c r="H838" s="16" t="s">
        <v>232</v>
      </c>
      <c r="I838" s="16" t="s">
        <v>2741</v>
      </c>
      <c r="J838" s="16" t="s">
        <v>223</v>
      </c>
      <c r="K838" s="16" t="s">
        <v>3244</v>
      </c>
      <c r="L838" s="16" t="s">
        <v>3235</v>
      </c>
    </row>
    <row r="839" spans="1:12" x14ac:dyDescent="0.35">
      <c r="A839" s="16" t="s">
        <v>2742</v>
      </c>
      <c r="B839" s="17">
        <v>45975.788356481484</v>
      </c>
      <c r="C839" s="16" t="s">
        <v>228</v>
      </c>
      <c r="D839" s="16" t="s">
        <v>229</v>
      </c>
      <c r="E839" s="16" t="s">
        <v>2743</v>
      </c>
      <c r="F839" s="16" t="s">
        <v>69</v>
      </c>
      <c r="G839" s="16" t="s">
        <v>244</v>
      </c>
      <c r="H839" s="16" t="s">
        <v>238</v>
      </c>
      <c r="I839" s="16" t="s">
        <v>2744</v>
      </c>
      <c r="J839" s="16" t="s">
        <v>223</v>
      </c>
      <c r="K839" s="16" t="s">
        <v>3246</v>
      </c>
      <c r="L839" s="16" t="s">
        <v>3234</v>
      </c>
    </row>
    <row r="840" spans="1:12" x14ac:dyDescent="0.35">
      <c r="A840" s="16" t="s">
        <v>2745</v>
      </c>
      <c r="B840" s="17">
        <v>45416.050578703704</v>
      </c>
      <c r="C840" s="16" t="s">
        <v>241</v>
      </c>
      <c r="D840" s="16" t="s">
        <v>242</v>
      </c>
      <c r="E840" s="16" t="s">
        <v>2746</v>
      </c>
      <c r="F840" s="16" t="s">
        <v>237</v>
      </c>
      <c r="G840" s="16" t="s">
        <v>244</v>
      </c>
      <c r="H840" s="16" t="s">
        <v>221</v>
      </c>
      <c r="I840" s="16" t="s">
        <v>2723</v>
      </c>
      <c r="J840" s="16" t="s">
        <v>270</v>
      </c>
      <c r="K840" s="16" t="s">
        <v>3245</v>
      </c>
      <c r="L840" s="16" t="s">
        <v>3232</v>
      </c>
    </row>
    <row r="841" spans="1:12" x14ac:dyDescent="0.35">
      <c r="A841" s="16" t="s">
        <v>2747</v>
      </c>
      <c r="B841" s="17">
        <v>46176.099803240744</v>
      </c>
      <c r="C841" s="16" t="s">
        <v>260</v>
      </c>
      <c r="D841" s="16" t="s">
        <v>261</v>
      </c>
      <c r="E841" s="16" t="s">
        <v>2748</v>
      </c>
      <c r="F841" s="16" t="s">
        <v>219</v>
      </c>
      <c r="G841" s="16" t="s">
        <v>220</v>
      </c>
      <c r="H841" s="16" t="s">
        <v>221</v>
      </c>
      <c r="I841" s="16" t="s">
        <v>2749</v>
      </c>
      <c r="J841" s="16" t="s">
        <v>223</v>
      </c>
      <c r="K841" s="16" t="s">
        <v>3254</v>
      </c>
      <c r="L841" s="16" t="s">
        <v>3232</v>
      </c>
    </row>
    <row r="842" spans="1:12" x14ac:dyDescent="0.35">
      <c r="A842" s="16" t="s">
        <v>2750</v>
      </c>
      <c r="B842" s="17">
        <v>46133.353634259256</v>
      </c>
      <c r="C842" s="16" t="s">
        <v>260</v>
      </c>
      <c r="D842" s="16" t="s">
        <v>261</v>
      </c>
      <c r="E842" s="16" t="s">
        <v>2751</v>
      </c>
      <c r="F842" s="16" t="s">
        <v>219</v>
      </c>
      <c r="G842" s="16" t="s">
        <v>244</v>
      </c>
      <c r="H842" s="16" t="s">
        <v>221</v>
      </c>
      <c r="I842" s="16" t="s">
        <v>2752</v>
      </c>
      <c r="J842" s="16" t="s">
        <v>223</v>
      </c>
      <c r="K842" s="16" t="s">
        <v>3236</v>
      </c>
      <c r="L842" s="16" t="s">
        <v>3230</v>
      </c>
    </row>
    <row r="843" spans="1:12" x14ac:dyDescent="0.35">
      <c r="A843" s="16" t="s">
        <v>2753</v>
      </c>
      <c r="B843" s="17">
        <v>45499.515208333331</v>
      </c>
      <c r="C843" s="16" t="s">
        <v>260</v>
      </c>
      <c r="D843" s="16" t="s">
        <v>261</v>
      </c>
      <c r="E843" s="16" t="s">
        <v>2754</v>
      </c>
      <c r="F843" s="16" t="s">
        <v>219</v>
      </c>
      <c r="G843" s="16" t="s">
        <v>220</v>
      </c>
      <c r="H843" s="16" t="s">
        <v>232</v>
      </c>
      <c r="I843" s="16" t="s">
        <v>2755</v>
      </c>
      <c r="J843" s="16" t="s">
        <v>249</v>
      </c>
      <c r="K843" s="16" t="s">
        <v>3251</v>
      </c>
      <c r="L843" s="16" t="s">
        <v>3231</v>
      </c>
    </row>
    <row r="844" spans="1:12" x14ac:dyDescent="0.35">
      <c r="A844" s="16" t="s">
        <v>2756</v>
      </c>
      <c r="B844" s="17">
        <v>45502.018634259257</v>
      </c>
      <c r="C844" s="16" t="s">
        <v>241</v>
      </c>
      <c r="D844" s="16" t="s">
        <v>242</v>
      </c>
      <c r="E844" s="16" t="s">
        <v>2757</v>
      </c>
      <c r="F844" s="16" t="s">
        <v>219</v>
      </c>
      <c r="G844" s="16" t="s">
        <v>220</v>
      </c>
      <c r="H844" s="16" t="s">
        <v>277</v>
      </c>
      <c r="I844" s="16" t="s">
        <v>2758</v>
      </c>
      <c r="J844" s="16" t="s">
        <v>234</v>
      </c>
      <c r="K844" s="16" t="s">
        <v>3233</v>
      </c>
      <c r="L844" s="16" t="s">
        <v>3230</v>
      </c>
    </row>
    <row r="845" spans="1:12" x14ac:dyDescent="0.35">
      <c r="A845" s="16" t="s">
        <v>2759</v>
      </c>
      <c r="B845" s="17">
        <v>46154.73028935185</v>
      </c>
      <c r="C845" s="16" t="s">
        <v>241</v>
      </c>
      <c r="D845" s="16" t="s">
        <v>242</v>
      </c>
      <c r="E845" s="16" t="s">
        <v>2760</v>
      </c>
      <c r="F845" s="16" t="s">
        <v>237</v>
      </c>
      <c r="G845" s="16" t="s">
        <v>220</v>
      </c>
      <c r="H845" s="16" t="s">
        <v>238</v>
      </c>
      <c r="I845" s="16" t="s">
        <v>2761</v>
      </c>
      <c r="J845" s="16" t="s">
        <v>270</v>
      </c>
      <c r="K845" s="16" t="s">
        <v>3237</v>
      </c>
      <c r="L845" s="16" t="s">
        <v>3230</v>
      </c>
    </row>
    <row r="846" spans="1:12" x14ac:dyDescent="0.35">
      <c r="A846" s="16" t="s">
        <v>2762</v>
      </c>
      <c r="B846" s="17">
        <v>46184.778425925928</v>
      </c>
      <c r="C846" s="16" t="s">
        <v>216</v>
      </c>
      <c r="D846" s="16" t="s">
        <v>217</v>
      </c>
      <c r="E846" s="16" t="s">
        <v>2763</v>
      </c>
      <c r="F846" s="16" t="s">
        <v>237</v>
      </c>
      <c r="G846" s="16" t="s">
        <v>231</v>
      </c>
      <c r="H846" s="16" t="s">
        <v>277</v>
      </c>
      <c r="I846" s="16" t="s">
        <v>2764</v>
      </c>
      <c r="J846" s="16" t="s">
        <v>234</v>
      </c>
      <c r="K846" s="16" t="s">
        <v>3238</v>
      </c>
      <c r="L846" s="16" t="s">
        <v>3230</v>
      </c>
    </row>
    <row r="847" spans="1:12" x14ac:dyDescent="0.35">
      <c r="A847" s="16" t="s">
        <v>2765</v>
      </c>
      <c r="B847" s="17">
        <v>45994.441550925927</v>
      </c>
      <c r="C847" s="16" t="s">
        <v>260</v>
      </c>
      <c r="D847" s="16" t="s">
        <v>261</v>
      </c>
      <c r="E847" s="16" t="s">
        <v>2766</v>
      </c>
      <c r="F847" s="16" t="s">
        <v>69</v>
      </c>
      <c r="G847" s="16" t="s">
        <v>244</v>
      </c>
      <c r="H847" s="16" t="s">
        <v>238</v>
      </c>
      <c r="I847" s="16" t="s">
        <v>2767</v>
      </c>
      <c r="J847" s="16" t="s">
        <v>234</v>
      </c>
      <c r="K847" s="16" t="s">
        <v>3256</v>
      </c>
      <c r="L847" s="16" t="s">
        <v>3231</v>
      </c>
    </row>
    <row r="848" spans="1:12" x14ac:dyDescent="0.35">
      <c r="A848" s="16" t="s">
        <v>2768</v>
      </c>
      <c r="B848" s="17">
        <v>46156.521574074075</v>
      </c>
      <c r="C848" s="16" t="s">
        <v>241</v>
      </c>
      <c r="D848" s="16" t="s">
        <v>242</v>
      </c>
      <c r="E848" s="16" t="s">
        <v>2769</v>
      </c>
      <c r="F848" s="16" t="s">
        <v>69</v>
      </c>
      <c r="G848" s="16" t="s">
        <v>244</v>
      </c>
      <c r="H848" s="16" t="s">
        <v>273</v>
      </c>
      <c r="I848" s="16" t="s">
        <v>2770</v>
      </c>
      <c r="J848" s="16" t="s">
        <v>249</v>
      </c>
      <c r="K848" s="16" t="s">
        <v>3255</v>
      </c>
      <c r="L848" s="16" t="s">
        <v>3235</v>
      </c>
    </row>
    <row r="849" spans="1:12" x14ac:dyDescent="0.35">
      <c r="A849" s="16" t="s">
        <v>2771</v>
      </c>
      <c r="B849" s="17">
        <v>45970.877465277779</v>
      </c>
      <c r="C849" s="16" t="s">
        <v>228</v>
      </c>
      <c r="D849" s="16" t="s">
        <v>229</v>
      </c>
      <c r="E849" s="16" t="s">
        <v>2772</v>
      </c>
      <c r="F849" s="16" t="s">
        <v>237</v>
      </c>
      <c r="G849" s="16" t="s">
        <v>244</v>
      </c>
      <c r="H849" s="16" t="s">
        <v>232</v>
      </c>
      <c r="I849" s="16" t="s">
        <v>2773</v>
      </c>
      <c r="J849" s="16" t="s">
        <v>249</v>
      </c>
      <c r="K849" s="16" t="s">
        <v>3243</v>
      </c>
      <c r="L849" s="16" t="s">
        <v>3234</v>
      </c>
    </row>
    <row r="850" spans="1:12" x14ac:dyDescent="0.35">
      <c r="A850" s="16" t="s">
        <v>2774</v>
      </c>
      <c r="B850" s="17">
        <v>45378.752337962964</v>
      </c>
      <c r="C850" s="16" t="s">
        <v>228</v>
      </c>
      <c r="D850" s="16" t="s">
        <v>229</v>
      </c>
      <c r="E850" s="16" t="s">
        <v>2775</v>
      </c>
      <c r="F850" s="16" t="s">
        <v>69</v>
      </c>
      <c r="G850" s="16" t="s">
        <v>244</v>
      </c>
      <c r="H850" s="16" t="s">
        <v>221</v>
      </c>
      <c r="I850" s="16" t="s">
        <v>2776</v>
      </c>
      <c r="J850" s="16" t="s">
        <v>234</v>
      </c>
      <c r="K850" s="16" t="s">
        <v>3249</v>
      </c>
      <c r="L850" s="16" t="s">
        <v>3232</v>
      </c>
    </row>
    <row r="851" spans="1:12" x14ac:dyDescent="0.35">
      <c r="A851" s="16" t="s">
        <v>2777</v>
      </c>
      <c r="B851" s="17">
        <v>45781.729305555556</v>
      </c>
      <c r="C851" s="16" t="s">
        <v>260</v>
      </c>
      <c r="D851" s="16" t="s">
        <v>261</v>
      </c>
      <c r="E851" s="16" t="s">
        <v>2778</v>
      </c>
      <c r="F851" s="16" t="s">
        <v>219</v>
      </c>
      <c r="G851" s="16" t="s">
        <v>231</v>
      </c>
      <c r="H851" s="16" t="s">
        <v>273</v>
      </c>
      <c r="I851" s="16" t="s">
        <v>2779</v>
      </c>
      <c r="J851" s="16" t="s">
        <v>234</v>
      </c>
      <c r="K851" s="16" t="s">
        <v>3248</v>
      </c>
      <c r="L851" s="16" t="s">
        <v>3231</v>
      </c>
    </row>
    <row r="852" spans="1:12" x14ac:dyDescent="0.35">
      <c r="A852" s="16" t="s">
        <v>2780</v>
      </c>
      <c r="B852" s="17">
        <v>45443.542916666665</v>
      </c>
      <c r="C852" s="16" t="s">
        <v>216</v>
      </c>
      <c r="D852" s="16" t="s">
        <v>217</v>
      </c>
      <c r="E852" s="16" t="s">
        <v>2781</v>
      </c>
      <c r="F852" s="16" t="s">
        <v>219</v>
      </c>
      <c r="G852" s="16" t="s">
        <v>220</v>
      </c>
      <c r="H852" s="16" t="s">
        <v>238</v>
      </c>
      <c r="I852" s="16" t="s">
        <v>2782</v>
      </c>
      <c r="J852" s="16" t="s">
        <v>223</v>
      </c>
      <c r="K852" s="16" t="s">
        <v>3243</v>
      </c>
      <c r="L852" s="16" t="s">
        <v>3234</v>
      </c>
    </row>
    <row r="853" spans="1:12" x14ac:dyDescent="0.35">
      <c r="A853" s="16" t="s">
        <v>2783</v>
      </c>
      <c r="B853" s="17">
        <v>45381.045023148145</v>
      </c>
      <c r="C853" s="16" t="s">
        <v>228</v>
      </c>
      <c r="D853" s="16" t="s">
        <v>229</v>
      </c>
      <c r="E853" s="16" t="s">
        <v>2784</v>
      </c>
      <c r="F853" s="16" t="s">
        <v>69</v>
      </c>
      <c r="G853" s="16" t="s">
        <v>231</v>
      </c>
      <c r="H853" s="16" t="s">
        <v>273</v>
      </c>
      <c r="I853" s="16" t="s">
        <v>2785</v>
      </c>
      <c r="J853" s="16" t="s">
        <v>249</v>
      </c>
      <c r="K853" s="16" t="s">
        <v>3247</v>
      </c>
      <c r="L853" s="16" t="s">
        <v>3234</v>
      </c>
    </row>
    <row r="854" spans="1:12" x14ac:dyDescent="0.35">
      <c r="A854" s="16" t="s">
        <v>2786</v>
      </c>
      <c r="B854" s="17">
        <v>45795.270844907405</v>
      </c>
      <c r="C854" s="16" t="s">
        <v>228</v>
      </c>
      <c r="D854" s="16" t="s">
        <v>229</v>
      </c>
      <c r="E854" s="16" t="s">
        <v>2787</v>
      </c>
      <c r="F854" s="16" t="s">
        <v>69</v>
      </c>
      <c r="G854" s="16" t="s">
        <v>220</v>
      </c>
      <c r="H854" s="16" t="s">
        <v>238</v>
      </c>
      <c r="I854" s="16" t="s">
        <v>2788</v>
      </c>
      <c r="J854" s="16" t="s">
        <v>270</v>
      </c>
      <c r="K854" s="16" t="s">
        <v>3241</v>
      </c>
      <c r="L854" s="16" t="s">
        <v>3231</v>
      </c>
    </row>
    <row r="855" spans="1:12" x14ac:dyDescent="0.35">
      <c r="A855" s="16" t="s">
        <v>2789</v>
      </c>
      <c r="B855" s="17">
        <v>45985.318935185183</v>
      </c>
      <c r="C855" s="16" t="s">
        <v>228</v>
      </c>
      <c r="D855" s="16" t="s">
        <v>229</v>
      </c>
      <c r="E855" s="16" t="s">
        <v>2790</v>
      </c>
      <c r="F855" s="16" t="s">
        <v>237</v>
      </c>
      <c r="G855" s="16" t="s">
        <v>220</v>
      </c>
      <c r="H855" s="16" t="s">
        <v>232</v>
      </c>
      <c r="I855" s="16" t="s">
        <v>2791</v>
      </c>
      <c r="J855" s="16" t="s">
        <v>234</v>
      </c>
      <c r="K855" s="16" t="s">
        <v>3243</v>
      </c>
      <c r="L855" s="16" t="s">
        <v>3234</v>
      </c>
    </row>
    <row r="856" spans="1:12" x14ac:dyDescent="0.35">
      <c r="A856" s="16" t="s">
        <v>2792</v>
      </c>
      <c r="B856" s="17">
        <v>45425.179756944446</v>
      </c>
      <c r="C856" s="16" t="s">
        <v>241</v>
      </c>
      <c r="D856" s="16" t="s">
        <v>242</v>
      </c>
      <c r="E856" s="16" t="s">
        <v>2793</v>
      </c>
      <c r="F856" s="16" t="s">
        <v>69</v>
      </c>
      <c r="G856" s="16" t="s">
        <v>220</v>
      </c>
      <c r="H856" s="16" t="s">
        <v>273</v>
      </c>
      <c r="I856" s="16" t="s">
        <v>2794</v>
      </c>
      <c r="J856" s="16" t="s">
        <v>223</v>
      </c>
      <c r="K856" s="16" t="s">
        <v>3241</v>
      </c>
      <c r="L856" s="16" t="s">
        <v>3231</v>
      </c>
    </row>
    <row r="857" spans="1:12" x14ac:dyDescent="0.35">
      <c r="A857" s="16" t="s">
        <v>2795</v>
      </c>
      <c r="B857" s="17">
        <v>46171.965046296296</v>
      </c>
      <c r="C857" s="16" t="s">
        <v>301</v>
      </c>
      <c r="D857" s="16" t="s">
        <v>302</v>
      </c>
      <c r="E857" s="16" t="s">
        <v>2796</v>
      </c>
      <c r="F857" s="16" t="s">
        <v>69</v>
      </c>
      <c r="G857" s="16" t="s">
        <v>244</v>
      </c>
      <c r="H857" s="16" t="s">
        <v>238</v>
      </c>
      <c r="I857" s="16" t="s">
        <v>2797</v>
      </c>
      <c r="J857" s="16" t="s">
        <v>249</v>
      </c>
      <c r="K857" s="16" t="s">
        <v>3237</v>
      </c>
      <c r="L857" s="16" t="s">
        <v>3230</v>
      </c>
    </row>
    <row r="858" spans="1:12" x14ac:dyDescent="0.35">
      <c r="A858" s="16" t="s">
        <v>2798</v>
      </c>
      <c r="B858" s="17">
        <v>45401.954907407409</v>
      </c>
      <c r="C858" s="16" t="s">
        <v>228</v>
      </c>
      <c r="D858" s="16" t="s">
        <v>229</v>
      </c>
      <c r="E858" s="16" t="s">
        <v>2799</v>
      </c>
      <c r="F858" s="16" t="s">
        <v>69</v>
      </c>
      <c r="G858" s="16" t="s">
        <v>244</v>
      </c>
      <c r="H858" s="16" t="s">
        <v>238</v>
      </c>
      <c r="I858" s="16" t="s">
        <v>2800</v>
      </c>
      <c r="J858" s="16" t="s">
        <v>270</v>
      </c>
      <c r="K858" s="16" t="s">
        <v>3237</v>
      </c>
      <c r="L858" s="16" t="s">
        <v>3230</v>
      </c>
    </row>
    <row r="859" spans="1:12" x14ac:dyDescent="0.35">
      <c r="A859" s="16" t="s">
        <v>2801</v>
      </c>
      <c r="B859" s="17">
        <v>45634.771585648145</v>
      </c>
      <c r="C859" s="16" t="s">
        <v>260</v>
      </c>
      <c r="D859" s="16" t="s">
        <v>261</v>
      </c>
      <c r="E859" s="16" t="s">
        <v>2802</v>
      </c>
      <c r="F859" s="16" t="s">
        <v>219</v>
      </c>
      <c r="G859" s="16" t="s">
        <v>244</v>
      </c>
      <c r="H859" s="16" t="s">
        <v>273</v>
      </c>
      <c r="I859" s="16" t="s">
        <v>2803</v>
      </c>
      <c r="J859" s="16" t="s">
        <v>223</v>
      </c>
      <c r="K859" s="16" t="s">
        <v>3242</v>
      </c>
      <c r="L859" s="16" t="s">
        <v>3232</v>
      </c>
    </row>
    <row r="860" spans="1:12" x14ac:dyDescent="0.35">
      <c r="A860" s="16" t="s">
        <v>2804</v>
      </c>
      <c r="B860" s="17">
        <v>46368.733171296299</v>
      </c>
      <c r="C860" s="16" t="s">
        <v>228</v>
      </c>
      <c r="D860" s="16" t="s">
        <v>229</v>
      </c>
      <c r="E860" s="16" t="s">
        <v>2805</v>
      </c>
      <c r="F860" s="16" t="s">
        <v>237</v>
      </c>
      <c r="G860" s="16" t="s">
        <v>231</v>
      </c>
      <c r="H860" s="16" t="s">
        <v>238</v>
      </c>
      <c r="I860" s="16" t="s">
        <v>2806</v>
      </c>
      <c r="J860" s="16" t="s">
        <v>270</v>
      </c>
      <c r="K860" s="16" t="s">
        <v>3237</v>
      </c>
      <c r="L860" s="16" t="s">
        <v>3230</v>
      </c>
    </row>
    <row r="861" spans="1:12" x14ac:dyDescent="0.35">
      <c r="A861" s="16" t="s">
        <v>2807</v>
      </c>
      <c r="B861" s="17">
        <v>46217.355567129627</v>
      </c>
      <c r="C861" s="16" t="s">
        <v>228</v>
      </c>
      <c r="D861" s="16" t="s">
        <v>229</v>
      </c>
      <c r="E861" s="16" t="s">
        <v>2808</v>
      </c>
      <c r="F861" s="16" t="s">
        <v>69</v>
      </c>
      <c r="G861" s="16" t="s">
        <v>231</v>
      </c>
      <c r="H861" s="16" t="s">
        <v>277</v>
      </c>
      <c r="I861" s="16" t="s">
        <v>2809</v>
      </c>
      <c r="J861" s="16" t="s">
        <v>234</v>
      </c>
      <c r="K861" s="16" t="s">
        <v>3246</v>
      </c>
      <c r="L861" s="16" t="s">
        <v>3234</v>
      </c>
    </row>
    <row r="862" spans="1:12" x14ac:dyDescent="0.35">
      <c r="A862" s="16" t="s">
        <v>2810</v>
      </c>
      <c r="B862" s="17">
        <v>45465.203773148147</v>
      </c>
      <c r="C862" s="16" t="s">
        <v>301</v>
      </c>
      <c r="D862" s="16" t="s">
        <v>302</v>
      </c>
      <c r="E862" s="16" t="s">
        <v>2811</v>
      </c>
      <c r="F862" s="16" t="s">
        <v>237</v>
      </c>
      <c r="G862" s="16" t="s">
        <v>231</v>
      </c>
      <c r="H862" s="16" t="s">
        <v>238</v>
      </c>
      <c r="I862" s="16" t="s">
        <v>2812</v>
      </c>
      <c r="J862" s="16" t="s">
        <v>234</v>
      </c>
      <c r="K862" s="16" t="s">
        <v>3257</v>
      </c>
      <c r="L862" s="16" t="s">
        <v>3234</v>
      </c>
    </row>
    <row r="863" spans="1:12" x14ac:dyDescent="0.35">
      <c r="A863" s="16" t="s">
        <v>2813</v>
      </c>
      <c r="B863" s="17">
        <v>46341.94226851852</v>
      </c>
      <c r="C863" s="16" t="s">
        <v>241</v>
      </c>
      <c r="D863" s="16" t="s">
        <v>242</v>
      </c>
      <c r="E863" s="16" t="s">
        <v>2814</v>
      </c>
      <c r="F863" s="16" t="s">
        <v>237</v>
      </c>
      <c r="G863" s="16" t="s">
        <v>231</v>
      </c>
      <c r="H863" s="16" t="s">
        <v>221</v>
      </c>
      <c r="I863" s="16" t="s">
        <v>2815</v>
      </c>
      <c r="J863" s="16" t="s">
        <v>223</v>
      </c>
      <c r="K863" s="16" t="s">
        <v>3259</v>
      </c>
      <c r="L863" s="16" t="s">
        <v>3235</v>
      </c>
    </row>
    <row r="864" spans="1:12" x14ac:dyDescent="0.35">
      <c r="A864" s="16" t="s">
        <v>2816</v>
      </c>
      <c r="B864" s="17">
        <v>45851.580069444448</v>
      </c>
      <c r="C864" s="16" t="s">
        <v>301</v>
      </c>
      <c r="D864" s="16" t="s">
        <v>302</v>
      </c>
      <c r="E864" s="16" t="s">
        <v>2817</v>
      </c>
      <c r="F864" s="16" t="s">
        <v>69</v>
      </c>
      <c r="G864" s="16" t="s">
        <v>231</v>
      </c>
      <c r="H864" s="16" t="s">
        <v>232</v>
      </c>
      <c r="I864" s="16" t="s">
        <v>2818</v>
      </c>
      <c r="J864" s="16" t="s">
        <v>270</v>
      </c>
      <c r="K864" s="16" t="s">
        <v>3229</v>
      </c>
      <c r="L864" s="16" t="s">
        <v>3230</v>
      </c>
    </row>
    <row r="865" spans="1:12" x14ac:dyDescent="0.35">
      <c r="A865" s="16" t="s">
        <v>2819</v>
      </c>
      <c r="B865" s="17">
        <v>46319.777916666666</v>
      </c>
      <c r="C865" s="16" t="s">
        <v>301</v>
      </c>
      <c r="D865" s="16" t="s">
        <v>302</v>
      </c>
      <c r="E865" s="16" t="s">
        <v>2820</v>
      </c>
      <c r="F865" s="16" t="s">
        <v>219</v>
      </c>
      <c r="G865" s="16" t="s">
        <v>220</v>
      </c>
      <c r="H865" s="16" t="s">
        <v>221</v>
      </c>
      <c r="I865" s="16" t="s">
        <v>2821</v>
      </c>
      <c r="J865" s="16" t="s">
        <v>270</v>
      </c>
      <c r="K865" s="16" t="s">
        <v>3241</v>
      </c>
      <c r="L865" s="16" t="s">
        <v>3231</v>
      </c>
    </row>
    <row r="866" spans="1:12" x14ac:dyDescent="0.35">
      <c r="A866" s="16" t="s">
        <v>2822</v>
      </c>
      <c r="B866" s="17">
        <v>45370.828333333331</v>
      </c>
      <c r="C866" s="16" t="s">
        <v>216</v>
      </c>
      <c r="D866" s="16" t="s">
        <v>217</v>
      </c>
      <c r="E866" s="16" t="s">
        <v>2823</v>
      </c>
      <c r="F866" s="16" t="s">
        <v>237</v>
      </c>
      <c r="G866" s="16" t="s">
        <v>220</v>
      </c>
      <c r="H866" s="16" t="s">
        <v>221</v>
      </c>
      <c r="I866" s="16" t="s">
        <v>2824</v>
      </c>
      <c r="J866" s="16" t="s">
        <v>249</v>
      </c>
      <c r="K866" s="16" t="s">
        <v>3245</v>
      </c>
      <c r="L866" s="16" t="s">
        <v>3232</v>
      </c>
    </row>
    <row r="867" spans="1:12" x14ac:dyDescent="0.35">
      <c r="A867" s="16" t="s">
        <v>2825</v>
      </c>
      <c r="B867" s="17">
        <v>45574.823935185188</v>
      </c>
      <c r="C867" s="16" t="s">
        <v>301</v>
      </c>
      <c r="D867" s="16" t="s">
        <v>302</v>
      </c>
      <c r="E867" s="16" t="s">
        <v>2826</v>
      </c>
      <c r="F867" s="16" t="s">
        <v>69</v>
      </c>
      <c r="G867" s="16" t="s">
        <v>231</v>
      </c>
      <c r="H867" s="16" t="s">
        <v>277</v>
      </c>
      <c r="I867" s="16" t="s">
        <v>2827</v>
      </c>
      <c r="J867" s="16" t="s">
        <v>223</v>
      </c>
      <c r="K867" s="16" t="s">
        <v>3244</v>
      </c>
      <c r="L867" s="16" t="s">
        <v>3235</v>
      </c>
    </row>
    <row r="868" spans="1:12" x14ac:dyDescent="0.35">
      <c r="A868" s="16" t="s">
        <v>2828</v>
      </c>
      <c r="B868" s="17">
        <v>46258.992280092592</v>
      </c>
      <c r="C868" s="16" t="s">
        <v>260</v>
      </c>
      <c r="D868" s="16" t="s">
        <v>261</v>
      </c>
      <c r="E868" s="16" t="s">
        <v>2829</v>
      </c>
      <c r="F868" s="16" t="s">
        <v>69</v>
      </c>
      <c r="G868" s="16" t="s">
        <v>231</v>
      </c>
      <c r="H868" s="16" t="s">
        <v>273</v>
      </c>
      <c r="I868" s="16" t="s">
        <v>2830</v>
      </c>
      <c r="J868" s="16" t="s">
        <v>234</v>
      </c>
      <c r="K868" s="16" t="s">
        <v>3243</v>
      </c>
      <c r="L868" s="16" t="s">
        <v>3234</v>
      </c>
    </row>
    <row r="869" spans="1:12" x14ac:dyDescent="0.35">
      <c r="A869" s="16" t="s">
        <v>2831</v>
      </c>
      <c r="B869" s="17">
        <v>46251.699953703705</v>
      </c>
      <c r="C869" s="16" t="s">
        <v>260</v>
      </c>
      <c r="D869" s="16" t="s">
        <v>261</v>
      </c>
      <c r="E869" s="16" t="s">
        <v>2832</v>
      </c>
      <c r="F869" s="16" t="s">
        <v>69</v>
      </c>
      <c r="G869" s="16" t="s">
        <v>231</v>
      </c>
      <c r="H869" s="16" t="s">
        <v>277</v>
      </c>
      <c r="I869" s="16" t="s">
        <v>2833</v>
      </c>
      <c r="J869" s="16" t="s">
        <v>223</v>
      </c>
      <c r="K869" s="16" t="s">
        <v>3241</v>
      </c>
      <c r="L869" s="16" t="s">
        <v>3231</v>
      </c>
    </row>
    <row r="870" spans="1:12" x14ac:dyDescent="0.35">
      <c r="A870" s="16" t="s">
        <v>2834</v>
      </c>
      <c r="B870" s="17">
        <v>45353.568425925929</v>
      </c>
      <c r="C870" s="16" t="s">
        <v>228</v>
      </c>
      <c r="D870" s="16" t="s">
        <v>229</v>
      </c>
      <c r="E870" s="16" t="s">
        <v>2835</v>
      </c>
      <c r="F870" s="16" t="s">
        <v>219</v>
      </c>
      <c r="G870" s="16" t="s">
        <v>220</v>
      </c>
      <c r="H870" s="16" t="s">
        <v>232</v>
      </c>
      <c r="I870" s="16" t="s">
        <v>2836</v>
      </c>
      <c r="J870" s="16" t="s">
        <v>270</v>
      </c>
      <c r="K870" s="16" t="s">
        <v>3248</v>
      </c>
      <c r="L870" s="16" t="s">
        <v>3231</v>
      </c>
    </row>
    <row r="871" spans="1:12" x14ac:dyDescent="0.35">
      <c r="A871" s="16" t="s">
        <v>2837</v>
      </c>
      <c r="B871" s="17">
        <v>45753.63585648148</v>
      </c>
      <c r="C871" s="16" t="s">
        <v>260</v>
      </c>
      <c r="D871" s="16" t="s">
        <v>261</v>
      </c>
      <c r="E871" s="16" t="s">
        <v>2838</v>
      </c>
      <c r="F871" s="16" t="s">
        <v>219</v>
      </c>
      <c r="G871" s="16" t="s">
        <v>231</v>
      </c>
      <c r="H871" s="16" t="s">
        <v>238</v>
      </c>
      <c r="I871" s="16" t="s">
        <v>2839</v>
      </c>
      <c r="J871" s="16" t="s">
        <v>249</v>
      </c>
      <c r="K871" s="16" t="s">
        <v>3238</v>
      </c>
      <c r="L871" s="16" t="s">
        <v>3230</v>
      </c>
    </row>
    <row r="872" spans="1:12" x14ac:dyDescent="0.35">
      <c r="A872" s="16" t="s">
        <v>2840</v>
      </c>
      <c r="B872" s="17">
        <v>45357.211064814815</v>
      </c>
      <c r="C872" s="16" t="s">
        <v>241</v>
      </c>
      <c r="D872" s="16" t="s">
        <v>242</v>
      </c>
      <c r="E872" s="16" t="s">
        <v>2841</v>
      </c>
      <c r="F872" s="16" t="s">
        <v>237</v>
      </c>
      <c r="G872" s="16" t="s">
        <v>244</v>
      </c>
      <c r="H872" s="16" t="s">
        <v>221</v>
      </c>
      <c r="I872" s="16" t="s">
        <v>2842</v>
      </c>
      <c r="J872" s="16" t="s">
        <v>234</v>
      </c>
      <c r="K872" s="16" t="s">
        <v>3247</v>
      </c>
      <c r="L872" s="16" t="s">
        <v>3234</v>
      </c>
    </row>
    <row r="873" spans="1:12" x14ac:dyDescent="0.35">
      <c r="A873" s="16" t="s">
        <v>2843</v>
      </c>
      <c r="B873" s="17">
        <v>46083.28570601852</v>
      </c>
      <c r="C873" s="16" t="s">
        <v>260</v>
      </c>
      <c r="D873" s="16" t="s">
        <v>261</v>
      </c>
      <c r="E873" s="16" t="s">
        <v>2844</v>
      </c>
      <c r="F873" s="16" t="s">
        <v>69</v>
      </c>
      <c r="G873" s="16" t="s">
        <v>231</v>
      </c>
      <c r="H873" s="16" t="s">
        <v>221</v>
      </c>
      <c r="I873" s="16" t="s">
        <v>2845</v>
      </c>
      <c r="J873" s="16" t="s">
        <v>249</v>
      </c>
      <c r="K873" s="16" t="s">
        <v>3243</v>
      </c>
      <c r="L873" s="16" t="s">
        <v>3234</v>
      </c>
    </row>
    <row r="874" spans="1:12" x14ac:dyDescent="0.35">
      <c r="A874" s="16" t="s">
        <v>2846</v>
      </c>
      <c r="B874" s="17">
        <v>45655.048634259256</v>
      </c>
      <c r="C874" s="16" t="s">
        <v>216</v>
      </c>
      <c r="D874" s="16" t="s">
        <v>217</v>
      </c>
      <c r="E874" s="16" t="s">
        <v>2847</v>
      </c>
      <c r="F874" s="16" t="s">
        <v>237</v>
      </c>
      <c r="G874" s="16" t="s">
        <v>220</v>
      </c>
      <c r="H874" s="16" t="s">
        <v>277</v>
      </c>
      <c r="I874" s="16" t="s">
        <v>2848</v>
      </c>
      <c r="J874" s="16" t="s">
        <v>270</v>
      </c>
      <c r="K874" s="16" t="s">
        <v>3236</v>
      </c>
      <c r="L874" s="16" t="s">
        <v>3230</v>
      </c>
    </row>
    <row r="875" spans="1:12" x14ac:dyDescent="0.35">
      <c r="A875" s="16" t="s">
        <v>2849</v>
      </c>
      <c r="B875" s="17">
        <v>45769.441608796296</v>
      </c>
      <c r="C875" s="16" t="s">
        <v>260</v>
      </c>
      <c r="D875" s="16" t="s">
        <v>261</v>
      </c>
      <c r="E875" s="16" t="s">
        <v>2850</v>
      </c>
      <c r="F875" s="16" t="s">
        <v>219</v>
      </c>
      <c r="G875" s="16" t="s">
        <v>220</v>
      </c>
      <c r="H875" s="16" t="s">
        <v>238</v>
      </c>
      <c r="I875" s="16" t="s">
        <v>2851</v>
      </c>
      <c r="J875" s="16" t="s">
        <v>249</v>
      </c>
      <c r="K875" s="16" t="s">
        <v>3244</v>
      </c>
      <c r="L875" s="16" t="s">
        <v>3235</v>
      </c>
    </row>
    <row r="876" spans="1:12" x14ac:dyDescent="0.35">
      <c r="A876" s="16" t="s">
        <v>2852</v>
      </c>
      <c r="B876" s="17">
        <v>45961.623287037037</v>
      </c>
      <c r="C876" s="16" t="s">
        <v>241</v>
      </c>
      <c r="D876" s="16" t="s">
        <v>242</v>
      </c>
      <c r="E876" s="16" t="s">
        <v>2853</v>
      </c>
      <c r="F876" s="16" t="s">
        <v>69</v>
      </c>
      <c r="G876" s="16" t="s">
        <v>220</v>
      </c>
      <c r="H876" s="16" t="s">
        <v>221</v>
      </c>
      <c r="I876" s="16" t="s">
        <v>2854</v>
      </c>
      <c r="J876" s="16" t="s">
        <v>223</v>
      </c>
      <c r="K876" s="16" t="s">
        <v>3233</v>
      </c>
      <c r="L876" s="16" t="s">
        <v>3230</v>
      </c>
    </row>
    <row r="877" spans="1:12" x14ac:dyDescent="0.35">
      <c r="A877" s="16" t="s">
        <v>2855</v>
      </c>
      <c r="B877" s="17">
        <v>45714.197106481479</v>
      </c>
      <c r="C877" s="16" t="s">
        <v>260</v>
      </c>
      <c r="D877" s="16" t="s">
        <v>261</v>
      </c>
      <c r="E877" s="16" t="s">
        <v>2856</v>
      </c>
      <c r="F877" s="16" t="s">
        <v>237</v>
      </c>
      <c r="G877" s="16" t="s">
        <v>231</v>
      </c>
      <c r="H877" s="16" t="s">
        <v>221</v>
      </c>
      <c r="I877" s="16" t="s">
        <v>2857</v>
      </c>
      <c r="J877" s="16" t="s">
        <v>249</v>
      </c>
      <c r="K877" s="16" t="s">
        <v>3255</v>
      </c>
      <c r="L877" s="16" t="s">
        <v>3235</v>
      </c>
    </row>
    <row r="878" spans="1:12" x14ac:dyDescent="0.35">
      <c r="A878" s="16" t="s">
        <v>2858</v>
      </c>
      <c r="B878" s="17">
        <v>46231.417847222219</v>
      </c>
      <c r="C878" s="16" t="s">
        <v>241</v>
      </c>
      <c r="D878" s="16" t="s">
        <v>242</v>
      </c>
      <c r="E878" s="16" t="s">
        <v>2859</v>
      </c>
      <c r="F878" s="16" t="s">
        <v>69</v>
      </c>
      <c r="G878" s="16" t="s">
        <v>220</v>
      </c>
      <c r="H878" s="16" t="s">
        <v>277</v>
      </c>
      <c r="I878" s="16" t="s">
        <v>2860</v>
      </c>
      <c r="J878" s="16" t="s">
        <v>223</v>
      </c>
      <c r="K878" s="16" t="s">
        <v>3254</v>
      </c>
      <c r="L878" s="16" t="s">
        <v>3232</v>
      </c>
    </row>
    <row r="879" spans="1:12" x14ac:dyDescent="0.35">
      <c r="A879" s="16" t="s">
        <v>2861</v>
      </c>
      <c r="B879" s="17">
        <v>45965.863530092596</v>
      </c>
      <c r="C879" s="16" t="s">
        <v>241</v>
      </c>
      <c r="D879" s="16" t="s">
        <v>242</v>
      </c>
      <c r="E879" s="16" t="s">
        <v>2862</v>
      </c>
      <c r="F879" s="16" t="s">
        <v>237</v>
      </c>
      <c r="G879" s="16" t="s">
        <v>231</v>
      </c>
      <c r="H879" s="16" t="s">
        <v>277</v>
      </c>
      <c r="I879" s="16" t="s">
        <v>2863</v>
      </c>
      <c r="J879" s="16" t="s">
        <v>270</v>
      </c>
      <c r="K879" s="16" t="s">
        <v>3243</v>
      </c>
      <c r="L879" s="16" t="s">
        <v>3234</v>
      </c>
    </row>
    <row r="880" spans="1:12" x14ac:dyDescent="0.35">
      <c r="A880" s="16" t="s">
        <v>2864</v>
      </c>
      <c r="B880" s="17">
        <v>45901.593287037038</v>
      </c>
      <c r="C880" s="16" t="s">
        <v>301</v>
      </c>
      <c r="D880" s="16" t="s">
        <v>302</v>
      </c>
      <c r="E880" s="16" t="s">
        <v>2865</v>
      </c>
      <c r="F880" s="16" t="s">
        <v>69</v>
      </c>
      <c r="G880" s="16" t="s">
        <v>231</v>
      </c>
      <c r="H880" s="16" t="s">
        <v>232</v>
      </c>
      <c r="I880" s="16" t="s">
        <v>2866</v>
      </c>
      <c r="J880" s="16" t="s">
        <v>223</v>
      </c>
      <c r="K880" s="16" t="s">
        <v>3258</v>
      </c>
      <c r="L880" s="16" t="s">
        <v>3235</v>
      </c>
    </row>
    <row r="881" spans="1:12" x14ac:dyDescent="0.35">
      <c r="A881" s="16" t="s">
        <v>2867</v>
      </c>
      <c r="B881" s="17">
        <v>45487.597025462965</v>
      </c>
      <c r="C881" s="16" t="s">
        <v>260</v>
      </c>
      <c r="D881" s="16" t="s">
        <v>261</v>
      </c>
      <c r="E881" s="16" t="s">
        <v>2868</v>
      </c>
      <c r="F881" s="16" t="s">
        <v>69</v>
      </c>
      <c r="G881" s="16" t="s">
        <v>220</v>
      </c>
      <c r="H881" s="16" t="s">
        <v>232</v>
      </c>
      <c r="I881" s="16" t="s">
        <v>2869</v>
      </c>
      <c r="J881" s="16" t="s">
        <v>249</v>
      </c>
      <c r="K881" s="16" t="s">
        <v>3245</v>
      </c>
      <c r="L881" s="16" t="s">
        <v>3232</v>
      </c>
    </row>
    <row r="882" spans="1:12" x14ac:dyDescent="0.35">
      <c r="A882" s="16" t="s">
        <v>2870</v>
      </c>
      <c r="B882" s="17">
        <v>46134.838645833333</v>
      </c>
      <c r="C882" s="16" t="s">
        <v>216</v>
      </c>
      <c r="D882" s="16" t="s">
        <v>217</v>
      </c>
      <c r="E882" s="16" t="s">
        <v>2871</v>
      </c>
      <c r="F882" s="16" t="s">
        <v>237</v>
      </c>
      <c r="G882" s="16" t="s">
        <v>220</v>
      </c>
      <c r="H882" s="16" t="s">
        <v>277</v>
      </c>
      <c r="I882" s="16" t="s">
        <v>2872</v>
      </c>
      <c r="J882" s="16" t="s">
        <v>249</v>
      </c>
      <c r="K882" s="16" t="s">
        <v>3246</v>
      </c>
      <c r="L882" s="16" t="s">
        <v>3234</v>
      </c>
    </row>
    <row r="883" spans="1:12" x14ac:dyDescent="0.35">
      <c r="A883" s="16" t="s">
        <v>2873</v>
      </c>
      <c r="B883" s="17">
        <v>45809.314583333333</v>
      </c>
      <c r="C883" s="16" t="s">
        <v>260</v>
      </c>
      <c r="D883" s="16" t="s">
        <v>261</v>
      </c>
      <c r="E883" s="16" t="s">
        <v>2874</v>
      </c>
      <c r="F883" s="16" t="s">
        <v>69</v>
      </c>
      <c r="G883" s="16" t="s">
        <v>231</v>
      </c>
      <c r="H883" s="16" t="s">
        <v>232</v>
      </c>
      <c r="I883" s="16" t="s">
        <v>2875</v>
      </c>
      <c r="J883" s="16" t="s">
        <v>223</v>
      </c>
      <c r="K883" s="16" t="s">
        <v>3233</v>
      </c>
      <c r="L883" s="16" t="s">
        <v>3230</v>
      </c>
    </row>
    <row r="884" spans="1:12" x14ac:dyDescent="0.35">
      <c r="A884" s="16" t="s">
        <v>2876</v>
      </c>
      <c r="B884" s="17">
        <v>45690.601759259262</v>
      </c>
      <c r="C884" s="16" t="s">
        <v>260</v>
      </c>
      <c r="D884" s="16" t="s">
        <v>261</v>
      </c>
      <c r="E884" s="16" t="s">
        <v>2877</v>
      </c>
      <c r="F884" s="16" t="s">
        <v>69</v>
      </c>
      <c r="G884" s="16" t="s">
        <v>231</v>
      </c>
      <c r="H884" s="16" t="s">
        <v>238</v>
      </c>
      <c r="I884" s="16" t="s">
        <v>2878</v>
      </c>
      <c r="J884" s="16" t="s">
        <v>234</v>
      </c>
      <c r="K884" s="16" t="s">
        <v>3248</v>
      </c>
      <c r="L884" s="16" t="s">
        <v>3231</v>
      </c>
    </row>
    <row r="885" spans="1:12" x14ac:dyDescent="0.35">
      <c r="A885" s="16" t="s">
        <v>2879</v>
      </c>
      <c r="B885" s="17">
        <v>46236.103506944448</v>
      </c>
      <c r="C885" s="16" t="s">
        <v>301</v>
      </c>
      <c r="D885" s="16" t="s">
        <v>302</v>
      </c>
      <c r="E885" s="16" t="s">
        <v>2880</v>
      </c>
      <c r="F885" s="16" t="s">
        <v>219</v>
      </c>
      <c r="G885" s="16" t="s">
        <v>244</v>
      </c>
      <c r="H885" s="16" t="s">
        <v>232</v>
      </c>
      <c r="I885" s="16" t="s">
        <v>2881</v>
      </c>
      <c r="J885" s="16" t="s">
        <v>223</v>
      </c>
      <c r="K885" s="16" t="s">
        <v>3244</v>
      </c>
      <c r="L885" s="16" t="s">
        <v>3235</v>
      </c>
    </row>
    <row r="886" spans="1:12" x14ac:dyDescent="0.35">
      <c r="A886" s="16" t="s">
        <v>2882</v>
      </c>
      <c r="B886" s="17">
        <v>45622.258784722224</v>
      </c>
      <c r="C886" s="16" t="s">
        <v>228</v>
      </c>
      <c r="D886" s="16" t="s">
        <v>229</v>
      </c>
      <c r="E886" s="16" t="s">
        <v>2883</v>
      </c>
      <c r="F886" s="16" t="s">
        <v>219</v>
      </c>
      <c r="G886" s="16" t="s">
        <v>220</v>
      </c>
      <c r="H886" s="16" t="s">
        <v>232</v>
      </c>
      <c r="I886" s="16" t="s">
        <v>2884</v>
      </c>
      <c r="J886" s="16" t="s">
        <v>270</v>
      </c>
      <c r="K886" s="16" t="s">
        <v>3244</v>
      </c>
      <c r="L886" s="16" t="s">
        <v>3235</v>
      </c>
    </row>
    <row r="887" spans="1:12" x14ac:dyDescent="0.35">
      <c r="A887" s="16" t="s">
        <v>2885</v>
      </c>
      <c r="B887" s="17">
        <v>45450.017002314817</v>
      </c>
      <c r="C887" s="16" t="s">
        <v>241</v>
      </c>
      <c r="D887" s="16" t="s">
        <v>242</v>
      </c>
      <c r="E887" s="16" t="s">
        <v>2886</v>
      </c>
      <c r="F887" s="16" t="s">
        <v>237</v>
      </c>
      <c r="G887" s="16" t="s">
        <v>220</v>
      </c>
      <c r="H887" s="16" t="s">
        <v>232</v>
      </c>
      <c r="I887" s="16" t="s">
        <v>2887</v>
      </c>
      <c r="J887" s="16" t="s">
        <v>234</v>
      </c>
      <c r="K887" s="16" t="s">
        <v>3259</v>
      </c>
      <c r="L887" s="16" t="s">
        <v>3235</v>
      </c>
    </row>
    <row r="888" spans="1:12" x14ac:dyDescent="0.35">
      <c r="A888" s="16" t="s">
        <v>2888</v>
      </c>
      <c r="B888" s="17">
        <v>45734.670613425929</v>
      </c>
      <c r="C888" s="16" t="s">
        <v>228</v>
      </c>
      <c r="D888" s="16" t="s">
        <v>229</v>
      </c>
      <c r="E888" s="16" t="s">
        <v>2889</v>
      </c>
      <c r="F888" s="16" t="s">
        <v>219</v>
      </c>
      <c r="G888" s="16" t="s">
        <v>244</v>
      </c>
      <c r="H888" s="16" t="s">
        <v>221</v>
      </c>
      <c r="I888" s="16" t="s">
        <v>2890</v>
      </c>
      <c r="J888" s="16" t="s">
        <v>249</v>
      </c>
      <c r="K888" s="16" t="s">
        <v>3257</v>
      </c>
      <c r="L888" s="16" t="s">
        <v>3234</v>
      </c>
    </row>
    <row r="889" spans="1:12" x14ac:dyDescent="0.35">
      <c r="A889" s="16" t="s">
        <v>2891</v>
      </c>
      <c r="B889" s="17">
        <v>45301.073819444442</v>
      </c>
      <c r="C889" s="16" t="s">
        <v>260</v>
      </c>
      <c r="D889" s="16" t="s">
        <v>261</v>
      </c>
      <c r="E889" s="16" t="s">
        <v>2892</v>
      </c>
      <c r="F889" s="16" t="s">
        <v>69</v>
      </c>
      <c r="G889" s="16" t="s">
        <v>220</v>
      </c>
      <c r="H889" s="16" t="s">
        <v>221</v>
      </c>
      <c r="I889" s="16" t="s">
        <v>2893</v>
      </c>
      <c r="J889" s="16" t="s">
        <v>234</v>
      </c>
      <c r="K889" s="16" t="s">
        <v>3236</v>
      </c>
      <c r="L889" s="16" t="s">
        <v>3230</v>
      </c>
    </row>
    <row r="890" spans="1:12" x14ac:dyDescent="0.35">
      <c r="A890" s="16" t="s">
        <v>2894</v>
      </c>
      <c r="B890" s="17">
        <v>45349.022083333337</v>
      </c>
      <c r="C890" s="16" t="s">
        <v>216</v>
      </c>
      <c r="D890" s="16" t="s">
        <v>217</v>
      </c>
      <c r="E890" s="16" t="s">
        <v>2895</v>
      </c>
      <c r="F890" s="16" t="s">
        <v>69</v>
      </c>
      <c r="G890" s="16" t="s">
        <v>244</v>
      </c>
      <c r="H890" s="16" t="s">
        <v>221</v>
      </c>
      <c r="I890" s="16" t="s">
        <v>2896</v>
      </c>
      <c r="J890" s="16" t="s">
        <v>270</v>
      </c>
      <c r="K890" s="16" t="s">
        <v>3250</v>
      </c>
      <c r="L890" s="16" t="s">
        <v>3231</v>
      </c>
    </row>
    <row r="891" spans="1:12" x14ac:dyDescent="0.35">
      <c r="A891" s="16" t="s">
        <v>2897</v>
      </c>
      <c r="B891" s="17">
        <v>46143.77747685185</v>
      </c>
      <c r="C891" s="16" t="s">
        <v>228</v>
      </c>
      <c r="D891" s="16" t="s">
        <v>229</v>
      </c>
      <c r="E891" s="16" t="s">
        <v>2898</v>
      </c>
      <c r="F891" s="16" t="s">
        <v>237</v>
      </c>
      <c r="G891" s="16" t="s">
        <v>231</v>
      </c>
      <c r="H891" s="16" t="s">
        <v>277</v>
      </c>
      <c r="I891" s="16" t="s">
        <v>2899</v>
      </c>
      <c r="J891" s="16" t="s">
        <v>234</v>
      </c>
      <c r="K891" s="16" t="s">
        <v>3237</v>
      </c>
      <c r="L891" s="16" t="s">
        <v>3230</v>
      </c>
    </row>
    <row r="892" spans="1:12" x14ac:dyDescent="0.35">
      <c r="A892" s="16" t="s">
        <v>2900</v>
      </c>
      <c r="B892" s="17">
        <v>45539.352569444447</v>
      </c>
      <c r="C892" s="16" t="s">
        <v>241</v>
      </c>
      <c r="D892" s="16" t="s">
        <v>242</v>
      </c>
      <c r="E892" s="16" t="s">
        <v>2901</v>
      </c>
      <c r="F892" s="16" t="s">
        <v>69</v>
      </c>
      <c r="G892" s="16" t="s">
        <v>231</v>
      </c>
      <c r="H892" s="16" t="s">
        <v>232</v>
      </c>
      <c r="I892" s="16" t="s">
        <v>2902</v>
      </c>
      <c r="J892" s="16" t="s">
        <v>270</v>
      </c>
      <c r="K892" s="16" t="s">
        <v>3237</v>
      </c>
      <c r="L892" s="16" t="s">
        <v>3230</v>
      </c>
    </row>
    <row r="893" spans="1:12" x14ac:dyDescent="0.35">
      <c r="A893" s="16" t="s">
        <v>2903</v>
      </c>
      <c r="B893" s="17">
        <v>46089.322766203702</v>
      </c>
      <c r="C893" s="16" t="s">
        <v>260</v>
      </c>
      <c r="D893" s="16" t="s">
        <v>261</v>
      </c>
      <c r="E893" s="16" t="s">
        <v>2904</v>
      </c>
      <c r="F893" s="16" t="s">
        <v>69</v>
      </c>
      <c r="G893" s="16" t="s">
        <v>220</v>
      </c>
      <c r="H893" s="16" t="s">
        <v>238</v>
      </c>
      <c r="I893" s="16" t="s">
        <v>2905</v>
      </c>
      <c r="J893" s="16" t="s">
        <v>249</v>
      </c>
      <c r="K893" s="16" t="s">
        <v>3252</v>
      </c>
      <c r="L893" s="16" t="s">
        <v>3232</v>
      </c>
    </row>
    <row r="894" spans="1:12" x14ac:dyDescent="0.35">
      <c r="A894" s="16" t="s">
        <v>2906</v>
      </c>
      <c r="B894" s="17">
        <v>46133.457430555558</v>
      </c>
      <c r="C894" s="16" t="s">
        <v>216</v>
      </c>
      <c r="D894" s="16" t="s">
        <v>217</v>
      </c>
      <c r="E894" s="16" t="s">
        <v>2907</v>
      </c>
      <c r="F894" s="16" t="s">
        <v>237</v>
      </c>
      <c r="G894" s="16" t="s">
        <v>220</v>
      </c>
      <c r="H894" s="16" t="s">
        <v>221</v>
      </c>
      <c r="I894" s="16" t="s">
        <v>2908</v>
      </c>
      <c r="J894" s="16" t="s">
        <v>234</v>
      </c>
      <c r="K894" s="16" t="s">
        <v>3258</v>
      </c>
      <c r="L894" s="16" t="s">
        <v>3235</v>
      </c>
    </row>
    <row r="895" spans="1:12" x14ac:dyDescent="0.35">
      <c r="A895" s="16" t="s">
        <v>2909</v>
      </c>
      <c r="B895" s="17">
        <v>45956.957048611112</v>
      </c>
      <c r="C895" s="16" t="s">
        <v>301</v>
      </c>
      <c r="D895" s="16" t="s">
        <v>302</v>
      </c>
      <c r="E895" s="16" t="s">
        <v>2910</v>
      </c>
      <c r="F895" s="16" t="s">
        <v>219</v>
      </c>
      <c r="G895" s="16" t="s">
        <v>244</v>
      </c>
      <c r="H895" s="16" t="s">
        <v>221</v>
      </c>
      <c r="I895" s="16" t="s">
        <v>2911</v>
      </c>
      <c r="J895" s="16" t="s">
        <v>234</v>
      </c>
      <c r="K895" s="16" t="s">
        <v>3252</v>
      </c>
      <c r="L895" s="16" t="s">
        <v>3232</v>
      </c>
    </row>
    <row r="896" spans="1:12" x14ac:dyDescent="0.35">
      <c r="A896" s="16" t="s">
        <v>2912</v>
      </c>
      <c r="B896" s="17">
        <v>45978.026770833334</v>
      </c>
      <c r="C896" s="16" t="s">
        <v>301</v>
      </c>
      <c r="D896" s="16" t="s">
        <v>302</v>
      </c>
      <c r="E896" s="16" t="s">
        <v>2913</v>
      </c>
      <c r="F896" s="16" t="s">
        <v>219</v>
      </c>
      <c r="G896" s="16" t="s">
        <v>231</v>
      </c>
      <c r="H896" s="16" t="s">
        <v>232</v>
      </c>
      <c r="I896" s="16" t="s">
        <v>2914</v>
      </c>
      <c r="J896" s="16" t="s">
        <v>234</v>
      </c>
      <c r="K896" s="16" t="s">
        <v>3251</v>
      </c>
      <c r="L896" s="16" t="s">
        <v>3231</v>
      </c>
    </row>
    <row r="897" spans="1:12" x14ac:dyDescent="0.35">
      <c r="A897" s="16" t="s">
        <v>2915</v>
      </c>
      <c r="B897" s="17">
        <v>45768.032175925924</v>
      </c>
      <c r="C897" s="16" t="s">
        <v>241</v>
      </c>
      <c r="D897" s="16" t="s">
        <v>242</v>
      </c>
      <c r="E897" s="16" t="s">
        <v>2916</v>
      </c>
      <c r="F897" s="16" t="s">
        <v>69</v>
      </c>
      <c r="G897" s="16" t="s">
        <v>231</v>
      </c>
      <c r="H897" s="16" t="s">
        <v>273</v>
      </c>
      <c r="I897" s="16" t="s">
        <v>2917</v>
      </c>
      <c r="J897" s="16" t="s">
        <v>223</v>
      </c>
      <c r="K897" s="16" t="s">
        <v>3241</v>
      </c>
      <c r="L897" s="16" t="s">
        <v>3231</v>
      </c>
    </row>
    <row r="898" spans="1:12" x14ac:dyDescent="0.35">
      <c r="A898" s="16" t="s">
        <v>2918</v>
      </c>
      <c r="B898" s="17">
        <v>45414.208668981482</v>
      </c>
      <c r="C898" s="16" t="s">
        <v>228</v>
      </c>
      <c r="D898" s="16" t="s">
        <v>229</v>
      </c>
      <c r="E898" s="16" t="s">
        <v>2919</v>
      </c>
      <c r="F898" s="16" t="s">
        <v>237</v>
      </c>
      <c r="G898" s="16" t="s">
        <v>231</v>
      </c>
      <c r="H898" s="16" t="s">
        <v>273</v>
      </c>
      <c r="I898" s="16" t="s">
        <v>2920</v>
      </c>
      <c r="J898" s="16" t="s">
        <v>223</v>
      </c>
      <c r="K898" s="16" t="s">
        <v>3257</v>
      </c>
      <c r="L898" s="16" t="s">
        <v>3234</v>
      </c>
    </row>
    <row r="899" spans="1:12" x14ac:dyDescent="0.35">
      <c r="A899" s="16" t="s">
        <v>2921</v>
      </c>
      <c r="B899" s="17">
        <v>46200.49863425926</v>
      </c>
      <c r="C899" s="16" t="s">
        <v>228</v>
      </c>
      <c r="D899" s="16" t="s">
        <v>229</v>
      </c>
      <c r="E899" s="16" t="s">
        <v>2922</v>
      </c>
      <c r="F899" s="16" t="s">
        <v>237</v>
      </c>
      <c r="G899" s="16" t="s">
        <v>231</v>
      </c>
      <c r="H899" s="16" t="s">
        <v>221</v>
      </c>
      <c r="I899" s="16" t="s">
        <v>2923</v>
      </c>
      <c r="J899" s="16" t="s">
        <v>223</v>
      </c>
      <c r="K899" s="16" t="s">
        <v>3242</v>
      </c>
      <c r="L899" s="16" t="s">
        <v>3232</v>
      </c>
    </row>
    <row r="900" spans="1:12" x14ac:dyDescent="0.35">
      <c r="A900" s="16" t="s">
        <v>2924</v>
      </c>
      <c r="B900" s="17">
        <v>45970.519930555558</v>
      </c>
      <c r="C900" s="16" t="s">
        <v>301</v>
      </c>
      <c r="D900" s="16" t="s">
        <v>302</v>
      </c>
      <c r="E900" s="16" t="s">
        <v>2925</v>
      </c>
      <c r="F900" s="16" t="s">
        <v>69</v>
      </c>
      <c r="G900" s="16" t="s">
        <v>244</v>
      </c>
      <c r="H900" s="16" t="s">
        <v>221</v>
      </c>
      <c r="I900" s="16" t="s">
        <v>2926</v>
      </c>
      <c r="J900" s="16" t="s">
        <v>234</v>
      </c>
      <c r="K900" s="16" t="s">
        <v>3236</v>
      </c>
      <c r="L900" s="16" t="s">
        <v>3230</v>
      </c>
    </row>
    <row r="901" spans="1:12" x14ac:dyDescent="0.35">
      <c r="A901" s="16" t="s">
        <v>2927</v>
      </c>
      <c r="B901" s="17">
        <v>46359.487928240742</v>
      </c>
      <c r="C901" s="16" t="s">
        <v>228</v>
      </c>
      <c r="D901" s="16" t="s">
        <v>229</v>
      </c>
      <c r="E901" s="16" t="s">
        <v>2928</v>
      </c>
      <c r="F901" s="16" t="s">
        <v>237</v>
      </c>
      <c r="G901" s="16" t="s">
        <v>244</v>
      </c>
      <c r="H901" s="16" t="s">
        <v>273</v>
      </c>
      <c r="I901" s="16" t="s">
        <v>2929</v>
      </c>
      <c r="J901" s="16" t="s">
        <v>223</v>
      </c>
      <c r="K901" s="16" t="s">
        <v>3237</v>
      </c>
      <c r="L901" s="16" t="s">
        <v>3230</v>
      </c>
    </row>
    <row r="902" spans="1:12" x14ac:dyDescent="0.35">
      <c r="A902" s="16" t="s">
        <v>2930</v>
      </c>
      <c r="B902" s="17">
        <v>45581.309803240743</v>
      </c>
      <c r="C902" s="16" t="s">
        <v>216</v>
      </c>
      <c r="D902" s="16" t="s">
        <v>217</v>
      </c>
      <c r="E902" s="16" t="s">
        <v>2931</v>
      </c>
      <c r="F902" s="16" t="s">
        <v>69</v>
      </c>
      <c r="G902" s="16" t="s">
        <v>220</v>
      </c>
      <c r="H902" s="16" t="s">
        <v>277</v>
      </c>
      <c r="I902" s="16" t="s">
        <v>2932</v>
      </c>
      <c r="J902" s="16" t="s">
        <v>234</v>
      </c>
      <c r="K902" s="16" t="s">
        <v>3252</v>
      </c>
      <c r="L902" s="16" t="s">
        <v>3232</v>
      </c>
    </row>
    <row r="903" spans="1:12" x14ac:dyDescent="0.35">
      <c r="A903" s="16" t="s">
        <v>2933</v>
      </c>
      <c r="B903" s="17">
        <v>46248.472500000003</v>
      </c>
      <c r="C903" s="16" t="s">
        <v>241</v>
      </c>
      <c r="D903" s="16" t="s">
        <v>242</v>
      </c>
      <c r="E903" s="16" t="s">
        <v>2934</v>
      </c>
      <c r="F903" s="16" t="s">
        <v>219</v>
      </c>
      <c r="G903" s="16" t="s">
        <v>220</v>
      </c>
      <c r="H903" s="16" t="s">
        <v>221</v>
      </c>
      <c r="I903" s="16" t="s">
        <v>2935</v>
      </c>
      <c r="J903" s="16" t="s">
        <v>234</v>
      </c>
      <c r="K903" s="16" t="s">
        <v>3252</v>
      </c>
      <c r="L903" s="16" t="s">
        <v>3232</v>
      </c>
    </row>
    <row r="904" spans="1:12" x14ac:dyDescent="0.35">
      <c r="A904" s="16" t="s">
        <v>2936</v>
      </c>
      <c r="B904" s="17">
        <v>45876.874444444446</v>
      </c>
      <c r="C904" s="16" t="s">
        <v>241</v>
      </c>
      <c r="D904" s="16" t="s">
        <v>242</v>
      </c>
      <c r="E904" s="16" t="s">
        <v>2937</v>
      </c>
      <c r="F904" s="16" t="s">
        <v>219</v>
      </c>
      <c r="G904" s="16" t="s">
        <v>220</v>
      </c>
      <c r="H904" s="16" t="s">
        <v>277</v>
      </c>
      <c r="I904" s="16" t="s">
        <v>1736</v>
      </c>
      <c r="J904" s="16" t="s">
        <v>270</v>
      </c>
      <c r="K904" s="16" t="s">
        <v>3250</v>
      </c>
      <c r="L904" s="16" t="s">
        <v>3231</v>
      </c>
    </row>
    <row r="905" spans="1:12" x14ac:dyDescent="0.35">
      <c r="A905" s="16" t="s">
        <v>2938</v>
      </c>
      <c r="B905" s="17">
        <v>45635.714085648149</v>
      </c>
      <c r="C905" s="16" t="s">
        <v>301</v>
      </c>
      <c r="D905" s="16" t="s">
        <v>302</v>
      </c>
      <c r="E905" s="16" t="s">
        <v>2939</v>
      </c>
      <c r="F905" s="16" t="s">
        <v>237</v>
      </c>
      <c r="G905" s="16" t="s">
        <v>244</v>
      </c>
      <c r="H905" s="16" t="s">
        <v>232</v>
      </c>
      <c r="I905" s="16" t="s">
        <v>2940</v>
      </c>
      <c r="J905" s="16" t="s">
        <v>223</v>
      </c>
      <c r="K905" s="16" t="s">
        <v>3239</v>
      </c>
      <c r="L905" s="16" t="s">
        <v>3235</v>
      </c>
    </row>
    <row r="906" spans="1:12" x14ac:dyDescent="0.35">
      <c r="A906" s="16" t="s">
        <v>2941</v>
      </c>
      <c r="B906" s="17">
        <v>45462.455451388887</v>
      </c>
      <c r="C906" s="16" t="s">
        <v>216</v>
      </c>
      <c r="D906" s="16" t="s">
        <v>217</v>
      </c>
      <c r="E906" s="16" t="s">
        <v>2942</v>
      </c>
      <c r="F906" s="16" t="s">
        <v>219</v>
      </c>
      <c r="G906" s="16" t="s">
        <v>220</v>
      </c>
      <c r="H906" s="16" t="s">
        <v>232</v>
      </c>
      <c r="I906" s="16" t="s">
        <v>2943</v>
      </c>
      <c r="J906" s="16" t="s">
        <v>223</v>
      </c>
      <c r="K906" s="16" t="s">
        <v>3239</v>
      </c>
      <c r="L906" s="16" t="s">
        <v>3235</v>
      </c>
    </row>
    <row r="907" spans="1:12" x14ac:dyDescent="0.35">
      <c r="A907" s="16" t="s">
        <v>2944</v>
      </c>
      <c r="B907" s="17">
        <v>45872.569108796299</v>
      </c>
      <c r="C907" s="16" t="s">
        <v>260</v>
      </c>
      <c r="D907" s="16" t="s">
        <v>261</v>
      </c>
      <c r="E907" s="16" t="s">
        <v>2945</v>
      </c>
      <c r="F907" s="16" t="s">
        <v>219</v>
      </c>
      <c r="G907" s="16" t="s">
        <v>231</v>
      </c>
      <c r="H907" s="16" t="s">
        <v>238</v>
      </c>
      <c r="I907" s="16" t="s">
        <v>2946</v>
      </c>
      <c r="J907" s="16" t="s">
        <v>234</v>
      </c>
      <c r="K907" s="16" t="s">
        <v>3248</v>
      </c>
      <c r="L907" s="16" t="s">
        <v>3231</v>
      </c>
    </row>
    <row r="908" spans="1:12" x14ac:dyDescent="0.35">
      <c r="A908" s="16" t="s">
        <v>2947</v>
      </c>
      <c r="B908" s="17">
        <v>45680.006331018521</v>
      </c>
      <c r="C908" s="16" t="s">
        <v>260</v>
      </c>
      <c r="D908" s="16" t="s">
        <v>261</v>
      </c>
      <c r="E908" s="16" t="s">
        <v>2948</v>
      </c>
      <c r="F908" s="16" t="s">
        <v>219</v>
      </c>
      <c r="G908" s="16" t="s">
        <v>244</v>
      </c>
      <c r="H908" s="16" t="s">
        <v>277</v>
      </c>
      <c r="I908" s="16" t="s">
        <v>2803</v>
      </c>
      <c r="J908" s="16" t="s">
        <v>223</v>
      </c>
      <c r="K908" s="16" t="s">
        <v>3254</v>
      </c>
      <c r="L908" s="16" t="s">
        <v>3232</v>
      </c>
    </row>
    <row r="909" spans="1:12" x14ac:dyDescent="0.35">
      <c r="A909" s="16" t="s">
        <v>2949</v>
      </c>
      <c r="B909" s="17">
        <v>46078.742662037039</v>
      </c>
      <c r="C909" s="16" t="s">
        <v>260</v>
      </c>
      <c r="D909" s="16" t="s">
        <v>261</v>
      </c>
      <c r="E909" s="16" t="s">
        <v>2950</v>
      </c>
      <c r="F909" s="16" t="s">
        <v>219</v>
      </c>
      <c r="G909" s="16" t="s">
        <v>244</v>
      </c>
      <c r="H909" s="16" t="s">
        <v>232</v>
      </c>
      <c r="I909" s="16" t="s">
        <v>2951</v>
      </c>
      <c r="J909" s="16" t="s">
        <v>270</v>
      </c>
      <c r="K909" s="16" t="s">
        <v>3248</v>
      </c>
      <c r="L909" s="16" t="s">
        <v>3231</v>
      </c>
    </row>
    <row r="910" spans="1:12" x14ac:dyDescent="0.35">
      <c r="A910" s="16" t="s">
        <v>2952</v>
      </c>
      <c r="B910" s="17">
        <v>45624.294641203705</v>
      </c>
      <c r="C910" s="16" t="s">
        <v>216</v>
      </c>
      <c r="D910" s="16" t="s">
        <v>217</v>
      </c>
      <c r="E910" s="16" t="s">
        <v>2953</v>
      </c>
      <c r="F910" s="16" t="s">
        <v>237</v>
      </c>
      <c r="G910" s="16" t="s">
        <v>244</v>
      </c>
      <c r="H910" s="16" t="s">
        <v>232</v>
      </c>
      <c r="I910" s="16" t="s">
        <v>2954</v>
      </c>
      <c r="J910" s="16" t="s">
        <v>223</v>
      </c>
      <c r="K910" s="16" t="s">
        <v>3250</v>
      </c>
      <c r="L910" s="16" t="s">
        <v>3231</v>
      </c>
    </row>
    <row r="911" spans="1:12" x14ac:dyDescent="0.35">
      <c r="A911" s="16" t="s">
        <v>2955</v>
      </c>
      <c r="B911" s="17">
        <v>46160.374386574076</v>
      </c>
      <c r="C911" s="16" t="s">
        <v>301</v>
      </c>
      <c r="D911" s="16" t="s">
        <v>302</v>
      </c>
      <c r="E911" s="16" t="s">
        <v>2956</v>
      </c>
      <c r="F911" s="16" t="s">
        <v>237</v>
      </c>
      <c r="G911" s="16" t="s">
        <v>220</v>
      </c>
      <c r="H911" s="16" t="s">
        <v>221</v>
      </c>
      <c r="I911" s="16" t="s">
        <v>2957</v>
      </c>
      <c r="J911" s="16" t="s">
        <v>270</v>
      </c>
      <c r="K911" s="16" t="s">
        <v>3237</v>
      </c>
      <c r="L911" s="16" t="s">
        <v>3230</v>
      </c>
    </row>
    <row r="912" spans="1:12" x14ac:dyDescent="0.35">
      <c r="A912" s="16" t="s">
        <v>2958</v>
      </c>
      <c r="B912" s="17">
        <v>46224.223553240743</v>
      </c>
      <c r="C912" s="16" t="s">
        <v>228</v>
      </c>
      <c r="D912" s="16" t="s">
        <v>229</v>
      </c>
      <c r="E912" s="16" t="s">
        <v>2959</v>
      </c>
      <c r="F912" s="16" t="s">
        <v>69</v>
      </c>
      <c r="G912" s="16" t="s">
        <v>244</v>
      </c>
      <c r="H912" s="16" t="s">
        <v>238</v>
      </c>
      <c r="I912" s="16" t="s">
        <v>2960</v>
      </c>
      <c r="J912" s="16" t="s">
        <v>270</v>
      </c>
      <c r="K912" s="16" t="s">
        <v>3257</v>
      </c>
      <c r="L912" s="16" t="s">
        <v>3234</v>
      </c>
    </row>
    <row r="913" spans="1:12" x14ac:dyDescent="0.35">
      <c r="A913" s="16" t="s">
        <v>2961</v>
      </c>
      <c r="B913" s="17">
        <v>45456.786631944444</v>
      </c>
      <c r="C913" s="16" t="s">
        <v>216</v>
      </c>
      <c r="D913" s="16" t="s">
        <v>217</v>
      </c>
      <c r="E913" s="16" t="s">
        <v>2962</v>
      </c>
      <c r="F913" s="16" t="s">
        <v>237</v>
      </c>
      <c r="G913" s="16" t="s">
        <v>220</v>
      </c>
      <c r="H913" s="16" t="s">
        <v>232</v>
      </c>
      <c r="I913" s="16" t="s">
        <v>2963</v>
      </c>
      <c r="J913" s="16" t="s">
        <v>249</v>
      </c>
      <c r="K913" s="16" t="s">
        <v>3257</v>
      </c>
      <c r="L913" s="16" t="s">
        <v>3234</v>
      </c>
    </row>
    <row r="914" spans="1:12" x14ac:dyDescent="0.35">
      <c r="A914" s="16" t="s">
        <v>2964</v>
      </c>
      <c r="B914" s="17">
        <v>45922.624421296299</v>
      </c>
      <c r="C914" s="16" t="s">
        <v>241</v>
      </c>
      <c r="D914" s="16" t="s">
        <v>242</v>
      </c>
      <c r="E914" s="16" t="s">
        <v>2965</v>
      </c>
      <c r="F914" s="16" t="s">
        <v>69</v>
      </c>
      <c r="G914" s="16" t="s">
        <v>244</v>
      </c>
      <c r="H914" s="16" t="s">
        <v>273</v>
      </c>
      <c r="I914" s="16" t="s">
        <v>2966</v>
      </c>
      <c r="J914" s="16" t="s">
        <v>249</v>
      </c>
      <c r="K914" s="16" t="s">
        <v>3241</v>
      </c>
      <c r="L914" s="16" t="s">
        <v>3231</v>
      </c>
    </row>
    <row r="915" spans="1:12" x14ac:dyDescent="0.35">
      <c r="A915" s="16" t="s">
        <v>2967</v>
      </c>
      <c r="B915" s="17">
        <v>45305.255462962959</v>
      </c>
      <c r="C915" s="16" t="s">
        <v>228</v>
      </c>
      <c r="D915" s="16" t="s">
        <v>229</v>
      </c>
      <c r="E915" s="16" t="s">
        <v>2968</v>
      </c>
      <c r="F915" s="16" t="s">
        <v>69</v>
      </c>
      <c r="G915" s="16" t="s">
        <v>220</v>
      </c>
      <c r="H915" s="16" t="s">
        <v>232</v>
      </c>
      <c r="I915" s="16" t="s">
        <v>2969</v>
      </c>
      <c r="J915" s="16" t="s">
        <v>223</v>
      </c>
      <c r="K915" s="16" t="s">
        <v>3257</v>
      </c>
      <c r="L915" s="16" t="s">
        <v>3234</v>
      </c>
    </row>
    <row r="916" spans="1:12" x14ac:dyDescent="0.35">
      <c r="A916" s="16" t="s">
        <v>2970</v>
      </c>
      <c r="B916" s="17">
        <v>46174.25885416667</v>
      </c>
      <c r="C916" s="16" t="s">
        <v>241</v>
      </c>
      <c r="D916" s="16" t="s">
        <v>242</v>
      </c>
      <c r="E916" s="16" t="s">
        <v>2971</v>
      </c>
      <c r="F916" s="16" t="s">
        <v>237</v>
      </c>
      <c r="G916" s="16" t="s">
        <v>220</v>
      </c>
      <c r="H916" s="16" t="s">
        <v>232</v>
      </c>
      <c r="I916" s="16" t="s">
        <v>2972</v>
      </c>
      <c r="J916" s="16" t="s">
        <v>223</v>
      </c>
      <c r="K916" s="16" t="s">
        <v>3251</v>
      </c>
      <c r="L916" s="16" t="s">
        <v>3231</v>
      </c>
    </row>
    <row r="917" spans="1:12" x14ac:dyDescent="0.35">
      <c r="A917" s="16" t="s">
        <v>2973</v>
      </c>
      <c r="B917" s="17">
        <v>46214.860289351855</v>
      </c>
      <c r="C917" s="16" t="s">
        <v>228</v>
      </c>
      <c r="D917" s="16" t="s">
        <v>229</v>
      </c>
      <c r="E917" s="16" t="s">
        <v>2974</v>
      </c>
      <c r="F917" s="16" t="s">
        <v>69</v>
      </c>
      <c r="G917" s="16" t="s">
        <v>220</v>
      </c>
      <c r="H917" s="16" t="s">
        <v>273</v>
      </c>
      <c r="I917" s="16" t="s">
        <v>2975</v>
      </c>
      <c r="J917" s="16" t="s">
        <v>234</v>
      </c>
      <c r="K917" s="16" t="s">
        <v>3248</v>
      </c>
      <c r="L917" s="16" t="s">
        <v>3231</v>
      </c>
    </row>
    <row r="918" spans="1:12" x14ac:dyDescent="0.35">
      <c r="A918" s="16" t="s">
        <v>2976</v>
      </c>
      <c r="B918" s="17">
        <v>46194.950925925928</v>
      </c>
      <c r="C918" s="16" t="s">
        <v>228</v>
      </c>
      <c r="D918" s="16" t="s">
        <v>229</v>
      </c>
      <c r="E918" s="16" t="s">
        <v>2977</v>
      </c>
      <c r="F918" s="16" t="s">
        <v>69</v>
      </c>
      <c r="G918" s="16" t="s">
        <v>244</v>
      </c>
      <c r="H918" s="16" t="s">
        <v>238</v>
      </c>
      <c r="I918" s="16" t="s">
        <v>2978</v>
      </c>
      <c r="J918" s="16" t="s">
        <v>249</v>
      </c>
      <c r="K918" s="16" t="s">
        <v>3243</v>
      </c>
      <c r="L918" s="16" t="s">
        <v>3234</v>
      </c>
    </row>
    <row r="919" spans="1:12" x14ac:dyDescent="0.35">
      <c r="A919" s="16" t="s">
        <v>2979</v>
      </c>
      <c r="B919" s="17">
        <v>45858.097488425927</v>
      </c>
      <c r="C919" s="16" t="s">
        <v>216</v>
      </c>
      <c r="D919" s="16" t="s">
        <v>217</v>
      </c>
      <c r="E919" s="16" t="s">
        <v>2980</v>
      </c>
      <c r="F919" s="16" t="s">
        <v>69</v>
      </c>
      <c r="G919" s="16" t="s">
        <v>244</v>
      </c>
      <c r="H919" s="16" t="s">
        <v>232</v>
      </c>
      <c r="I919" s="16" t="s">
        <v>2981</v>
      </c>
      <c r="J919" s="16" t="s">
        <v>223</v>
      </c>
      <c r="K919" s="16" t="s">
        <v>3247</v>
      </c>
      <c r="L919" s="16" t="s">
        <v>3234</v>
      </c>
    </row>
    <row r="920" spans="1:12" x14ac:dyDescent="0.35">
      <c r="A920" s="16" t="s">
        <v>2982</v>
      </c>
      <c r="B920" s="17">
        <v>45836.010960648149</v>
      </c>
      <c r="C920" s="16" t="s">
        <v>216</v>
      </c>
      <c r="D920" s="16" t="s">
        <v>217</v>
      </c>
      <c r="E920" s="16" t="s">
        <v>2983</v>
      </c>
      <c r="F920" s="16" t="s">
        <v>219</v>
      </c>
      <c r="G920" s="16" t="s">
        <v>220</v>
      </c>
      <c r="H920" s="16" t="s">
        <v>221</v>
      </c>
      <c r="I920" s="16" t="s">
        <v>2984</v>
      </c>
      <c r="J920" s="16" t="s">
        <v>270</v>
      </c>
      <c r="K920" s="16" t="s">
        <v>3245</v>
      </c>
      <c r="L920" s="16" t="s">
        <v>3232</v>
      </c>
    </row>
    <row r="921" spans="1:12" x14ac:dyDescent="0.35">
      <c r="A921" s="16" t="s">
        <v>2985</v>
      </c>
      <c r="B921" s="17">
        <v>45836.737164351849</v>
      </c>
      <c r="C921" s="16" t="s">
        <v>260</v>
      </c>
      <c r="D921" s="16" t="s">
        <v>261</v>
      </c>
      <c r="E921" s="16" t="s">
        <v>2986</v>
      </c>
      <c r="F921" s="16" t="s">
        <v>237</v>
      </c>
      <c r="G921" s="16" t="s">
        <v>244</v>
      </c>
      <c r="H921" s="16" t="s">
        <v>273</v>
      </c>
      <c r="I921" s="16" t="s">
        <v>2987</v>
      </c>
      <c r="J921" s="16" t="s">
        <v>249</v>
      </c>
      <c r="K921" s="16" t="s">
        <v>3250</v>
      </c>
      <c r="L921" s="16" t="s">
        <v>3231</v>
      </c>
    </row>
    <row r="922" spans="1:12" x14ac:dyDescent="0.35">
      <c r="A922" s="16" t="s">
        <v>2988</v>
      </c>
      <c r="B922" s="17">
        <v>46031.604490740741</v>
      </c>
      <c r="C922" s="16" t="s">
        <v>301</v>
      </c>
      <c r="D922" s="16" t="s">
        <v>302</v>
      </c>
      <c r="E922" s="16" t="s">
        <v>2989</v>
      </c>
      <c r="F922" s="16" t="s">
        <v>219</v>
      </c>
      <c r="G922" s="16" t="s">
        <v>220</v>
      </c>
      <c r="H922" s="16" t="s">
        <v>238</v>
      </c>
      <c r="I922" s="16" t="s">
        <v>2990</v>
      </c>
      <c r="J922" s="16" t="s">
        <v>270</v>
      </c>
      <c r="K922" s="16" t="s">
        <v>3229</v>
      </c>
      <c r="L922" s="16" t="s">
        <v>3230</v>
      </c>
    </row>
    <row r="923" spans="1:12" x14ac:dyDescent="0.35">
      <c r="A923" s="16" t="s">
        <v>2991</v>
      </c>
      <c r="B923" s="17">
        <v>45576.038946759261</v>
      </c>
      <c r="C923" s="16" t="s">
        <v>216</v>
      </c>
      <c r="D923" s="16" t="s">
        <v>217</v>
      </c>
      <c r="E923" s="16" t="s">
        <v>2992</v>
      </c>
      <c r="F923" s="16" t="s">
        <v>69</v>
      </c>
      <c r="G923" s="16" t="s">
        <v>244</v>
      </c>
      <c r="H923" s="16" t="s">
        <v>232</v>
      </c>
      <c r="I923" s="16" t="s">
        <v>2993</v>
      </c>
      <c r="J923" s="16" t="s">
        <v>234</v>
      </c>
      <c r="K923" s="16" t="s">
        <v>3250</v>
      </c>
      <c r="L923" s="16" t="s">
        <v>3231</v>
      </c>
    </row>
    <row r="924" spans="1:12" x14ac:dyDescent="0.35">
      <c r="A924" s="16" t="s">
        <v>2994</v>
      </c>
      <c r="B924" s="17">
        <v>46265.781134259261</v>
      </c>
      <c r="C924" s="16" t="s">
        <v>301</v>
      </c>
      <c r="D924" s="16" t="s">
        <v>302</v>
      </c>
      <c r="E924" s="16" t="s">
        <v>2995</v>
      </c>
      <c r="F924" s="16" t="s">
        <v>219</v>
      </c>
      <c r="G924" s="16" t="s">
        <v>220</v>
      </c>
      <c r="H924" s="16" t="s">
        <v>232</v>
      </c>
      <c r="I924" s="16" t="s">
        <v>2996</v>
      </c>
      <c r="J924" s="16" t="s">
        <v>249</v>
      </c>
      <c r="K924" s="16" t="s">
        <v>3256</v>
      </c>
      <c r="L924" s="16" t="s">
        <v>3231</v>
      </c>
    </row>
    <row r="925" spans="1:12" x14ac:dyDescent="0.35">
      <c r="A925" s="16" t="s">
        <v>2997</v>
      </c>
      <c r="B925" s="17">
        <v>45958.674027777779</v>
      </c>
      <c r="C925" s="16" t="s">
        <v>216</v>
      </c>
      <c r="D925" s="16" t="s">
        <v>217</v>
      </c>
      <c r="E925" s="16" t="s">
        <v>2998</v>
      </c>
      <c r="F925" s="16" t="s">
        <v>219</v>
      </c>
      <c r="G925" s="16" t="s">
        <v>231</v>
      </c>
      <c r="H925" s="16" t="s">
        <v>238</v>
      </c>
      <c r="I925" s="16" t="s">
        <v>2999</v>
      </c>
      <c r="J925" s="16" t="s">
        <v>270</v>
      </c>
      <c r="K925" s="16" t="s">
        <v>3239</v>
      </c>
      <c r="L925" s="16" t="s">
        <v>3235</v>
      </c>
    </row>
    <row r="926" spans="1:12" x14ac:dyDescent="0.35">
      <c r="A926" s="16" t="s">
        <v>3000</v>
      </c>
      <c r="B926" s="17">
        <v>45497.58384259259</v>
      </c>
      <c r="C926" s="16" t="s">
        <v>301</v>
      </c>
      <c r="D926" s="16" t="s">
        <v>302</v>
      </c>
      <c r="E926" s="16" t="s">
        <v>3001</v>
      </c>
      <c r="F926" s="16" t="s">
        <v>219</v>
      </c>
      <c r="G926" s="16" t="s">
        <v>220</v>
      </c>
      <c r="H926" s="16" t="s">
        <v>232</v>
      </c>
      <c r="I926" s="16" t="s">
        <v>3002</v>
      </c>
      <c r="J926" s="16" t="s">
        <v>270</v>
      </c>
      <c r="K926" s="16" t="s">
        <v>3249</v>
      </c>
      <c r="L926" s="16" t="s">
        <v>3232</v>
      </c>
    </row>
    <row r="927" spans="1:12" x14ac:dyDescent="0.35">
      <c r="A927" s="16" t="s">
        <v>3003</v>
      </c>
      <c r="B927" s="17">
        <v>45909.832465277781</v>
      </c>
      <c r="C927" s="16" t="s">
        <v>228</v>
      </c>
      <c r="D927" s="16" t="s">
        <v>229</v>
      </c>
      <c r="E927" s="16" t="s">
        <v>3004</v>
      </c>
      <c r="F927" s="16" t="s">
        <v>69</v>
      </c>
      <c r="G927" s="16" t="s">
        <v>231</v>
      </c>
      <c r="H927" s="16" t="s">
        <v>232</v>
      </c>
      <c r="I927" s="16" t="s">
        <v>3005</v>
      </c>
      <c r="J927" s="16" t="s">
        <v>234</v>
      </c>
      <c r="K927" s="16" t="s">
        <v>3256</v>
      </c>
      <c r="L927" s="16" t="s">
        <v>3231</v>
      </c>
    </row>
    <row r="928" spans="1:12" x14ac:dyDescent="0.35">
      <c r="A928" s="16" t="s">
        <v>3006</v>
      </c>
      <c r="B928" s="17">
        <v>45475.16</v>
      </c>
      <c r="C928" s="16" t="s">
        <v>228</v>
      </c>
      <c r="D928" s="16" t="s">
        <v>229</v>
      </c>
      <c r="E928" s="16" t="s">
        <v>3007</v>
      </c>
      <c r="F928" s="16" t="s">
        <v>219</v>
      </c>
      <c r="G928" s="16" t="s">
        <v>220</v>
      </c>
      <c r="H928" s="16" t="s">
        <v>277</v>
      </c>
      <c r="I928" s="16" t="s">
        <v>3008</v>
      </c>
      <c r="J928" s="16" t="s">
        <v>223</v>
      </c>
      <c r="K928" s="16" t="s">
        <v>3237</v>
      </c>
      <c r="L928" s="16" t="s">
        <v>3230</v>
      </c>
    </row>
    <row r="929" spans="1:12" x14ac:dyDescent="0.35">
      <c r="A929" s="16" t="s">
        <v>3009</v>
      </c>
      <c r="B929" s="17">
        <v>46267.186736111114</v>
      </c>
      <c r="C929" s="16" t="s">
        <v>301</v>
      </c>
      <c r="D929" s="16" t="s">
        <v>302</v>
      </c>
      <c r="E929" s="16" t="s">
        <v>3010</v>
      </c>
      <c r="F929" s="16" t="s">
        <v>69</v>
      </c>
      <c r="G929" s="16" t="s">
        <v>244</v>
      </c>
      <c r="H929" s="16" t="s">
        <v>277</v>
      </c>
      <c r="I929" s="16" t="s">
        <v>3011</v>
      </c>
      <c r="J929" s="16" t="s">
        <v>249</v>
      </c>
      <c r="K929" s="16" t="s">
        <v>3239</v>
      </c>
      <c r="L929" s="16" t="s">
        <v>3235</v>
      </c>
    </row>
    <row r="930" spans="1:12" x14ac:dyDescent="0.35">
      <c r="A930" s="16" t="s">
        <v>3012</v>
      </c>
      <c r="B930" s="17">
        <v>45424.976944444446</v>
      </c>
      <c r="C930" s="16" t="s">
        <v>228</v>
      </c>
      <c r="D930" s="16" t="s">
        <v>229</v>
      </c>
      <c r="E930" s="16" t="s">
        <v>3013</v>
      </c>
      <c r="F930" s="16" t="s">
        <v>237</v>
      </c>
      <c r="G930" s="16" t="s">
        <v>244</v>
      </c>
      <c r="H930" s="16" t="s">
        <v>273</v>
      </c>
      <c r="I930" s="16" t="s">
        <v>3014</v>
      </c>
      <c r="J930" s="16" t="s">
        <v>223</v>
      </c>
      <c r="K930" s="16" t="s">
        <v>3248</v>
      </c>
      <c r="L930" s="16" t="s">
        <v>3231</v>
      </c>
    </row>
    <row r="931" spans="1:12" x14ac:dyDescent="0.35">
      <c r="A931" s="16" t="s">
        <v>3015</v>
      </c>
      <c r="B931" s="17">
        <v>45528.441412037035</v>
      </c>
      <c r="C931" s="16" t="s">
        <v>228</v>
      </c>
      <c r="D931" s="16" t="s">
        <v>229</v>
      </c>
      <c r="E931" s="16" t="s">
        <v>3016</v>
      </c>
      <c r="F931" s="16" t="s">
        <v>69</v>
      </c>
      <c r="G931" s="16" t="s">
        <v>220</v>
      </c>
      <c r="H931" s="16" t="s">
        <v>277</v>
      </c>
      <c r="I931" s="16" t="s">
        <v>3017</v>
      </c>
      <c r="J931" s="16" t="s">
        <v>234</v>
      </c>
      <c r="K931" s="16" t="s">
        <v>3236</v>
      </c>
      <c r="L931" s="16" t="s">
        <v>3230</v>
      </c>
    </row>
    <row r="932" spans="1:12" x14ac:dyDescent="0.35">
      <c r="A932" s="16" t="s">
        <v>3018</v>
      </c>
      <c r="B932" s="17">
        <v>45552.475393518522</v>
      </c>
      <c r="C932" s="16" t="s">
        <v>216</v>
      </c>
      <c r="D932" s="16" t="s">
        <v>217</v>
      </c>
      <c r="E932" s="16" t="s">
        <v>3019</v>
      </c>
      <c r="F932" s="16" t="s">
        <v>219</v>
      </c>
      <c r="G932" s="16" t="s">
        <v>244</v>
      </c>
      <c r="H932" s="16" t="s">
        <v>273</v>
      </c>
      <c r="I932" s="16" t="s">
        <v>3020</v>
      </c>
      <c r="J932" s="16" t="s">
        <v>270</v>
      </c>
      <c r="K932" s="16" t="s">
        <v>3251</v>
      </c>
      <c r="L932" s="16" t="s">
        <v>3231</v>
      </c>
    </row>
    <row r="933" spans="1:12" x14ac:dyDescent="0.35">
      <c r="A933" s="16" t="s">
        <v>3021</v>
      </c>
      <c r="B933" s="17">
        <v>46086.642766203702</v>
      </c>
      <c r="C933" s="16" t="s">
        <v>241</v>
      </c>
      <c r="D933" s="16" t="s">
        <v>242</v>
      </c>
      <c r="E933" s="16" t="s">
        <v>3022</v>
      </c>
      <c r="F933" s="16" t="s">
        <v>237</v>
      </c>
      <c r="G933" s="16" t="s">
        <v>244</v>
      </c>
      <c r="H933" s="16" t="s">
        <v>273</v>
      </c>
      <c r="I933" s="16" t="s">
        <v>3023</v>
      </c>
      <c r="J933" s="16" t="s">
        <v>234</v>
      </c>
      <c r="K933" s="16" t="s">
        <v>3252</v>
      </c>
      <c r="L933" s="16" t="s">
        <v>3232</v>
      </c>
    </row>
    <row r="934" spans="1:12" x14ac:dyDescent="0.35">
      <c r="A934" s="16" t="s">
        <v>3024</v>
      </c>
      <c r="B934" s="17">
        <v>46235.479270833333</v>
      </c>
      <c r="C934" s="16" t="s">
        <v>216</v>
      </c>
      <c r="D934" s="16" t="s">
        <v>217</v>
      </c>
      <c r="E934" s="16" t="s">
        <v>3025</v>
      </c>
      <c r="F934" s="16" t="s">
        <v>237</v>
      </c>
      <c r="G934" s="16" t="s">
        <v>220</v>
      </c>
      <c r="H934" s="16" t="s">
        <v>232</v>
      </c>
      <c r="I934" s="16" t="s">
        <v>3026</v>
      </c>
      <c r="J934" s="16" t="s">
        <v>223</v>
      </c>
      <c r="K934" s="16" t="s">
        <v>3245</v>
      </c>
      <c r="L934" s="16" t="s">
        <v>3232</v>
      </c>
    </row>
    <row r="935" spans="1:12" x14ac:dyDescent="0.35">
      <c r="A935" s="16" t="s">
        <v>3027</v>
      </c>
      <c r="B935" s="17">
        <v>45590.052094907405</v>
      </c>
      <c r="C935" s="16" t="s">
        <v>228</v>
      </c>
      <c r="D935" s="16" t="s">
        <v>229</v>
      </c>
      <c r="E935" s="16" t="s">
        <v>3028</v>
      </c>
      <c r="F935" s="16" t="s">
        <v>237</v>
      </c>
      <c r="G935" s="16" t="s">
        <v>231</v>
      </c>
      <c r="H935" s="16" t="s">
        <v>273</v>
      </c>
      <c r="I935" s="16" t="s">
        <v>3029</v>
      </c>
      <c r="J935" s="16" t="s">
        <v>270</v>
      </c>
      <c r="K935" s="16" t="s">
        <v>3243</v>
      </c>
      <c r="L935" s="16" t="s">
        <v>3234</v>
      </c>
    </row>
    <row r="936" spans="1:12" x14ac:dyDescent="0.35">
      <c r="A936" s="16" t="s">
        <v>3030</v>
      </c>
      <c r="B936" s="17">
        <v>45733.750960648147</v>
      </c>
      <c r="C936" s="16" t="s">
        <v>301</v>
      </c>
      <c r="D936" s="16" t="s">
        <v>302</v>
      </c>
      <c r="E936" s="16" t="s">
        <v>3031</v>
      </c>
      <c r="F936" s="16" t="s">
        <v>219</v>
      </c>
      <c r="G936" s="16" t="s">
        <v>231</v>
      </c>
      <c r="H936" s="16" t="s">
        <v>273</v>
      </c>
      <c r="I936" s="16" t="s">
        <v>3032</v>
      </c>
      <c r="J936" s="16" t="s">
        <v>234</v>
      </c>
      <c r="K936" s="16" t="s">
        <v>3252</v>
      </c>
      <c r="L936" s="16" t="s">
        <v>3232</v>
      </c>
    </row>
    <row r="937" spans="1:12" x14ac:dyDescent="0.35">
      <c r="A937" s="16" t="s">
        <v>3033</v>
      </c>
      <c r="B937" s="17">
        <v>45658.739560185182</v>
      </c>
      <c r="C937" s="16" t="s">
        <v>228</v>
      </c>
      <c r="D937" s="16" t="s">
        <v>229</v>
      </c>
      <c r="E937" s="16" t="s">
        <v>3034</v>
      </c>
      <c r="F937" s="16" t="s">
        <v>237</v>
      </c>
      <c r="G937" s="16" t="s">
        <v>244</v>
      </c>
      <c r="H937" s="16" t="s">
        <v>277</v>
      </c>
      <c r="I937" s="16" t="s">
        <v>3035</v>
      </c>
      <c r="J937" s="16" t="s">
        <v>223</v>
      </c>
      <c r="K937" s="16" t="s">
        <v>3254</v>
      </c>
      <c r="L937" s="16" t="s">
        <v>3232</v>
      </c>
    </row>
    <row r="938" spans="1:12" x14ac:dyDescent="0.35">
      <c r="A938" s="16" t="s">
        <v>3036</v>
      </c>
      <c r="B938" s="17">
        <v>46005.5937037037</v>
      </c>
      <c r="C938" s="16" t="s">
        <v>301</v>
      </c>
      <c r="D938" s="16" t="s">
        <v>302</v>
      </c>
      <c r="E938" s="16" t="s">
        <v>3037</v>
      </c>
      <c r="F938" s="16" t="s">
        <v>69</v>
      </c>
      <c r="G938" s="16" t="s">
        <v>244</v>
      </c>
      <c r="H938" s="16" t="s">
        <v>232</v>
      </c>
      <c r="I938" s="16" t="s">
        <v>3038</v>
      </c>
      <c r="J938" s="16" t="s">
        <v>234</v>
      </c>
      <c r="K938" s="16" t="s">
        <v>3256</v>
      </c>
      <c r="L938" s="16" t="s">
        <v>3231</v>
      </c>
    </row>
    <row r="939" spans="1:12" x14ac:dyDescent="0.35">
      <c r="A939" s="16" t="s">
        <v>3039</v>
      </c>
      <c r="B939" s="17">
        <v>45560.490636574075</v>
      </c>
      <c r="C939" s="16" t="s">
        <v>241</v>
      </c>
      <c r="D939" s="16" t="s">
        <v>242</v>
      </c>
      <c r="E939" s="16" t="s">
        <v>3040</v>
      </c>
      <c r="F939" s="16" t="s">
        <v>69</v>
      </c>
      <c r="G939" s="16" t="s">
        <v>244</v>
      </c>
      <c r="H939" s="16" t="s">
        <v>232</v>
      </c>
      <c r="I939" s="16" t="s">
        <v>3041</v>
      </c>
      <c r="J939" s="16" t="s">
        <v>234</v>
      </c>
      <c r="K939" s="16" t="s">
        <v>3259</v>
      </c>
      <c r="L939" s="16" t="s">
        <v>3235</v>
      </c>
    </row>
    <row r="940" spans="1:12" x14ac:dyDescent="0.35">
      <c r="A940" s="16" t="s">
        <v>3042</v>
      </c>
      <c r="B940" s="17">
        <v>46280.441574074073</v>
      </c>
      <c r="C940" s="16" t="s">
        <v>241</v>
      </c>
      <c r="D940" s="16" t="s">
        <v>242</v>
      </c>
      <c r="E940" s="16" t="s">
        <v>3043</v>
      </c>
      <c r="F940" s="16" t="s">
        <v>69</v>
      </c>
      <c r="G940" s="16" t="s">
        <v>220</v>
      </c>
      <c r="H940" s="16" t="s">
        <v>277</v>
      </c>
      <c r="I940" s="16" t="s">
        <v>3044</v>
      </c>
      <c r="J940" s="16" t="s">
        <v>270</v>
      </c>
      <c r="K940" s="16" t="s">
        <v>3255</v>
      </c>
      <c r="L940" s="16" t="s">
        <v>3235</v>
      </c>
    </row>
    <row r="941" spans="1:12" x14ac:dyDescent="0.35">
      <c r="A941" s="16" t="s">
        <v>3045</v>
      </c>
      <c r="B941" s="17">
        <v>45594.571238425924</v>
      </c>
      <c r="C941" s="16" t="s">
        <v>301</v>
      </c>
      <c r="D941" s="16" t="s">
        <v>302</v>
      </c>
      <c r="E941" s="16" t="s">
        <v>3046</v>
      </c>
      <c r="F941" s="16" t="s">
        <v>219</v>
      </c>
      <c r="G941" s="16" t="s">
        <v>220</v>
      </c>
      <c r="H941" s="16" t="s">
        <v>273</v>
      </c>
      <c r="I941" s="16" t="s">
        <v>3047</v>
      </c>
      <c r="J941" s="16" t="s">
        <v>249</v>
      </c>
      <c r="K941" s="16" t="s">
        <v>3253</v>
      </c>
      <c r="L941" s="16" t="s">
        <v>3234</v>
      </c>
    </row>
    <row r="942" spans="1:12" x14ac:dyDescent="0.35">
      <c r="A942" s="16" t="s">
        <v>3048</v>
      </c>
      <c r="B942" s="17">
        <v>45532.78193287037</v>
      </c>
      <c r="C942" s="16" t="s">
        <v>260</v>
      </c>
      <c r="D942" s="16" t="s">
        <v>261</v>
      </c>
      <c r="E942" s="16" t="s">
        <v>3049</v>
      </c>
      <c r="F942" s="16" t="s">
        <v>237</v>
      </c>
      <c r="G942" s="16" t="s">
        <v>244</v>
      </c>
      <c r="H942" s="16" t="s">
        <v>277</v>
      </c>
      <c r="I942" s="16" t="s">
        <v>3050</v>
      </c>
      <c r="J942" s="16" t="s">
        <v>223</v>
      </c>
      <c r="K942" s="16" t="s">
        <v>3256</v>
      </c>
      <c r="L942" s="16" t="s">
        <v>3231</v>
      </c>
    </row>
    <row r="943" spans="1:12" x14ac:dyDescent="0.35">
      <c r="A943" s="16" t="s">
        <v>3051</v>
      </c>
      <c r="B943" s="17">
        <v>45785.601724537039</v>
      </c>
      <c r="C943" s="16" t="s">
        <v>228</v>
      </c>
      <c r="D943" s="16" t="s">
        <v>229</v>
      </c>
      <c r="E943" s="16" t="s">
        <v>3052</v>
      </c>
      <c r="F943" s="16" t="s">
        <v>237</v>
      </c>
      <c r="G943" s="16" t="s">
        <v>244</v>
      </c>
      <c r="H943" s="16" t="s">
        <v>221</v>
      </c>
      <c r="I943" s="16" t="s">
        <v>3053</v>
      </c>
      <c r="J943" s="16" t="s">
        <v>223</v>
      </c>
      <c r="K943" s="16" t="s">
        <v>3233</v>
      </c>
      <c r="L943" s="16" t="s">
        <v>3230</v>
      </c>
    </row>
    <row r="944" spans="1:12" x14ac:dyDescent="0.35">
      <c r="A944" s="16" t="s">
        <v>3054</v>
      </c>
      <c r="B944" s="17">
        <v>45855.959270833337</v>
      </c>
      <c r="C944" s="16" t="s">
        <v>216</v>
      </c>
      <c r="D944" s="16" t="s">
        <v>217</v>
      </c>
      <c r="E944" s="16" t="s">
        <v>3055</v>
      </c>
      <c r="F944" s="16" t="s">
        <v>237</v>
      </c>
      <c r="G944" s="16" t="s">
        <v>231</v>
      </c>
      <c r="H944" s="16" t="s">
        <v>232</v>
      </c>
      <c r="I944" s="16" t="s">
        <v>3056</v>
      </c>
      <c r="J944" s="16" t="s">
        <v>270</v>
      </c>
      <c r="K944" s="16" t="s">
        <v>3245</v>
      </c>
      <c r="L944" s="16" t="s">
        <v>3232</v>
      </c>
    </row>
    <row r="945" spans="1:12" x14ac:dyDescent="0.35">
      <c r="A945" s="16" t="s">
        <v>3057</v>
      </c>
      <c r="B945" s="17">
        <v>46335.341226851851</v>
      </c>
      <c r="C945" s="16" t="s">
        <v>216</v>
      </c>
      <c r="D945" s="16" t="s">
        <v>217</v>
      </c>
      <c r="E945" s="16" t="s">
        <v>3058</v>
      </c>
      <c r="F945" s="16" t="s">
        <v>219</v>
      </c>
      <c r="G945" s="16" t="s">
        <v>244</v>
      </c>
      <c r="H945" s="16" t="s">
        <v>221</v>
      </c>
      <c r="I945" s="16" t="s">
        <v>3059</v>
      </c>
      <c r="J945" s="16" t="s">
        <v>270</v>
      </c>
      <c r="K945" s="16" t="s">
        <v>3256</v>
      </c>
      <c r="L945" s="16" t="s">
        <v>3231</v>
      </c>
    </row>
    <row r="946" spans="1:12" x14ac:dyDescent="0.35">
      <c r="A946" s="16" t="s">
        <v>3060</v>
      </c>
      <c r="B946" s="17">
        <v>46283.977870370371</v>
      </c>
      <c r="C946" s="16" t="s">
        <v>241</v>
      </c>
      <c r="D946" s="16" t="s">
        <v>242</v>
      </c>
      <c r="E946" s="16" t="s">
        <v>3061</v>
      </c>
      <c r="F946" s="16" t="s">
        <v>237</v>
      </c>
      <c r="G946" s="16" t="s">
        <v>244</v>
      </c>
      <c r="H946" s="16" t="s">
        <v>277</v>
      </c>
      <c r="I946" s="16" t="s">
        <v>3062</v>
      </c>
      <c r="J946" s="16" t="s">
        <v>249</v>
      </c>
      <c r="K946" s="16" t="s">
        <v>3250</v>
      </c>
      <c r="L946" s="16" t="s">
        <v>3231</v>
      </c>
    </row>
    <row r="947" spans="1:12" x14ac:dyDescent="0.35">
      <c r="A947" s="16" t="s">
        <v>3063</v>
      </c>
      <c r="B947" s="17">
        <v>46122.029953703706</v>
      </c>
      <c r="C947" s="16" t="s">
        <v>216</v>
      </c>
      <c r="D947" s="16" t="s">
        <v>217</v>
      </c>
      <c r="E947" s="16" t="s">
        <v>3064</v>
      </c>
      <c r="F947" s="16" t="s">
        <v>219</v>
      </c>
      <c r="G947" s="16" t="s">
        <v>244</v>
      </c>
      <c r="H947" s="16" t="s">
        <v>273</v>
      </c>
      <c r="I947" s="16" t="s">
        <v>3065</v>
      </c>
      <c r="J947" s="16" t="s">
        <v>270</v>
      </c>
      <c r="K947" s="16" t="s">
        <v>3252</v>
      </c>
      <c r="L947" s="16" t="s">
        <v>3232</v>
      </c>
    </row>
    <row r="948" spans="1:12" x14ac:dyDescent="0.35">
      <c r="A948" s="16" t="s">
        <v>3066</v>
      </c>
      <c r="B948" s="17">
        <v>45546.314722222225</v>
      </c>
      <c r="C948" s="16" t="s">
        <v>241</v>
      </c>
      <c r="D948" s="16" t="s">
        <v>242</v>
      </c>
      <c r="E948" s="16" t="s">
        <v>3067</v>
      </c>
      <c r="F948" s="16" t="s">
        <v>69</v>
      </c>
      <c r="G948" s="16" t="s">
        <v>220</v>
      </c>
      <c r="H948" s="16" t="s">
        <v>273</v>
      </c>
      <c r="I948" s="16" t="s">
        <v>3068</v>
      </c>
      <c r="J948" s="16" t="s">
        <v>223</v>
      </c>
      <c r="K948" s="16" t="s">
        <v>3238</v>
      </c>
      <c r="L948" s="16" t="s">
        <v>3230</v>
      </c>
    </row>
    <row r="949" spans="1:12" x14ac:dyDescent="0.35">
      <c r="A949" s="16" t="s">
        <v>3069</v>
      </c>
      <c r="B949" s="17">
        <v>45555.872418981482</v>
      </c>
      <c r="C949" s="16" t="s">
        <v>301</v>
      </c>
      <c r="D949" s="16" t="s">
        <v>302</v>
      </c>
      <c r="E949" s="16" t="s">
        <v>3070</v>
      </c>
      <c r="F949" s="16" t="s">
        <v>219</v>
      </c>
      <c r="G949" s="16" t="s">
        <v>220</v>
      </c>
      <c r="H949" s="16" t="s">
        <v>221</v>
      </c>
      <c r="I949" s="16" t="s">
        <v>1875</v>
      </c>
      <c r="J949" s="16" t="s">
        <v>249</v>
      </c>
      <c r="K949" s="16" t="s">
        <v>3247</v>
      </c>
      <c r="L949" s="16" t="s">
        <v>3234</v>
      </c>
    </row>
    <row r="950" spans="1:12" x14ac:dyDescent="0.35">
      <c r="A950" s="16" t="s">
        <v>3071</v>
      </c>
      <c r="B950" s="17">
        <v>46328.452951388892</v>
      </c>
      <c r="C950" s="16" t="s">
        <v>216</v>
      </c>
      <c r="D950" s="16" t="s">
        <v>217</v>
      </c>
      <c r="E950" s="16" t="s">
        <v>3072</v>
      </c>
      <c r="F950" s="16" t="s">
        <v>219</v>
      </c>
      <c r="G950" s="16" t="s">
        <v>220</v>
      </c>
      <c r="H950" s="16" t="s">
        <v>221</v>
      </c>
      <c r="I950" s="16" t="s">
        <v>3073</v>
      </c>
      <c r="J950" s="16" t="s">
        <v>270</v>
      </c>
      <c r="K950" s="16" t="s">
        <v>3247</v>
      </c>
      <c r="L950" s="16" t="s">
        <v>3234</v>
      </c>
    </row>
    <row r="951" spans="1:12" x14ac:dyDescent="0.35">
      <c r="A951" s="16" t="s">
        <v>3074</v>
      </c>
      <c r="B951" s="17">
        <v>46355.445092592592</v>
      </c>
      <c r="C951" s="16" t="s">
        <v>228</v>
      </c>
      <c r="D951" s="16" t="s">
        <v>229</v>
      </c>
      <c r="E951" s="16" t="s">
        <v>3075</v>
      </c>
      <c r="F951" s="16" t="s">
        <v>219</v>
      </c>
      <c r="G951" s="16" t="s">
        <v>231</v>
      </c>
      <c r="H951" s="16" t="s">
        <v>238</v>
      </c>
      <c r="I951" s="16" t="s">
        <v>3076</v>
      </c>
      <c r="J951" s="16" t="s">
        <v>223</v>
      </c>
      <c r="K951" s="16" t="s">
        <v>3237</v>
      </c>
      <c r="L951" s="16" t="s">
        <v>3230</v>
      </c>
    </row>
    <row r="952" spans="1:12" x14ac:dyDescent="0.35">
      <c r="A952" s="16" t="s">
        <v>3077</v>
      </c>
      <c r="B952" s="17">
        <v>46337.318333333336</v>
      </c>
      <c r="C952" s="16" t="s">
        <v>301</v>
      </c>
      <c r="D952" s="16" t="s">
        <v>302</v>
      </c>
      <c r="E952" s="16" t="s">
        <v>3078</v>
      </c>
      <c r="F952" s="16" t="s">
        <v>219</v>
      </c>
      <c r="G952" s="16" t="s">
        <v>220</v>
      </c>
      <c r="H952" s="16" t="s">
        <v>273</v>
      </c>
      <c r="I952" s="16" t="s">
        <v>3079</v>
      </c>
      <c r="J952" s="16" t="s">
        <v>234</v>
      </c>
      <c r="K952" s="16" t="s">
        <v>3256</v>
      </c>
      <c r="L952" s="16" t="s">
        <v>3231</v>
      </c>
    </row>
    <row r="953" spans="1:12" x14ac:dyDescent="0.35">
      <c r="A953" s="16" t="s">
        <v>3080</v>
      </c>
      <c r="B953" s="17">
        <v>45566.913472222222</v>
      </c>
      <c r="C953" s="16" t="s">
        <v>228</v>
      </c>
      <c r="D953" s="16" t="s">
        <v>229</v>
      </c>
      <c r="E953" s="16" t="s">
        <v>3081</v>
      </c>
      <c r="F953" s="16" t="s">
        <v>69</v>
      </c>
      <c r="G953" s="16" t="s">
        <v>244</v>
      </c>
      <c r="H953" s="16" t="s">
        <v>238</v>
      </c>
      <c r="I953" s="16" t="s">
        <v>3082</v>
      </c>
      <c r="J953" s="16" t="s">
        <v>234</v>
      </c>
      <c r="K953" s="16" t="s">
        <v>3245</v>
      </c>
      <c r="L953" s="16" t="s">
        <v>3232</v>
      </c>
    </row>
    <row r="954" spans="1:12" x14ac:dyDescent="0.35">
      <c r="A954" s="16" t="s">
        <v>3083</v>
      </c>
      <c r="B954" s="17">
        <v>45814.395451388889</v>
      </c>
      <c r="C954" s="16" t="s">
        <v>241</v>
      </c>
      <c r="D954" s="16" t="s">
        <v>242</v>
      </c>
      <c r="E954" s="16" t="s">
        <v>3084</v>
      </c>
      <c r="F954" s="16" t="s">
        <v>219</v>
      </c>
      <c r="G954" s="16" t="s">
        <v>220</v>
      </c>
      <c r="H954" s="16" t="s">
        <v>232</v>
      </c>
      <c r="I954" s="16" t="s">
        <v>3085</v>
      </c>
      <c r="J954" s="16" t="s">
        <v>270</v>
      </c>
      <c r="K954" s="16" t="s">
        <v>3256</v>
      </c>
      <c r="L954" s="16" t="s">
        <v>3231</v>
      </c>
    </row>
    <row r="955" spans="1:12" x14ac:dyDescent="0.35">
      <c r="A955" s="16" t="s">
        <v>3086</v>
      </c>
      <c r="B955" s="17">
        <v>45709.107037037036</v>
      </c>
      <c r="C955" s="16" t="s">
        <v>301</v>
      </c>
      <c r="D955" s="16" t="s">
        <v>302</v>
      </c>
      <c r="E955" s="16" t="s">
        <v>3087</v>
      </c>
      <c r="F955" s="16" t="s">
        <v>219</v>
      </c>
      <c r="G955" s="16" t="s">
        <v>231</v>
      </c>
      <c r="H955" s="16" t="s">
        <v>232</v>
      </c>
      <c r="I955" s="16" t="s">
        <v>3088</v>
      </c>
      <c r="J955" s="16" t="s">
        <v>249</v>
      </c>
      <c r="K955" s="16" t="s">
        <v>3252</v>
      </c>
      <c r="L955" s="16" t="s">
        <v>3232</v>
      </c>
    </row>
    <row r="956" spans="1:12" x14ac:dyDescent="0.35">
      <c r="A956" s="16" t="s">
        <v>3089</v>
      </c>
      <c r="B956" s="17">
        <v>45627.636678240742</v>
      </c>
      <c r="C956" s="16" t="s">
        <v>241</v>
      </c>
      <c r="D956" s="16" t="s">
        <v>242</v>
      </c>
      <c r="E956" s="16" t="s">
        <v>3090</v>
      </c>
      <c r="F956" s="16" t="s">
        <v>237</v>
      </c>
      <c r="G956" s="16" t="s">
        <v>231</v>
      </c>
      <c r="H956" s="16" t="s">
        <v>273</v>
      </c>
      <c r="I956" s="16" t="s">
        <v>3091</v>
      </c>
      <c r="J956" s="16" t="s">
        <v>234</v>
      </c>
      <c r="K956" s="16" t="s">
        <v>3252</v>
      </c>
      <c r="L956" s="16" t="s">
        <v>3232</v>
      </c>
    </row>
    <row r="957" spans="1:12" x14ac:dyDescent="0.35">
      <c r="A957" s="16" t="s">
        <v>3092</v>
      </c>
      <c r="B957" s="17">
        <v>46380.166851851849</v>
      </c>
      <c r="C957" s="16" t="s">
        <v>216</v>
      </c>
      <c r="D957" s="16" t="s">
        <v>217</v>
      </c>
      <c r="E957" s="16" t="s">
        <v>3093</v>
      </c>
      <c r="F957" s="16" t="s">
        <v>219</v>
      </c>
      <c r="G957" s="16" t="s">
        <v>231</v>
      </c>
      <c r="H957" s="16" t="s">
        <v>238</v>
      </c>
      <c r="I957" s="16" t="s">
        <v>3094</v>
      </c>
      <c r="J957" s="16" t="s">
        <v>270</v>
      </c>
      <c r="K957" s="16" t="s">
        <v>3246</v>
      </c>
      <c r="L957" s="16" t="s">
        <v>3234</v>
      </c>
    </row>
    <row r="958" spans="1:12" x14ac:dyDescent="0.35">
      <c r="A958" s="16" t="s">
        <v>3095</v>
      </c>
      <c r="B958" s="17">
        <v>45591.342488425929</v>
      </c>
      <c r="C958" s="16" t="s">
        <v>301</v>
      </c>
      <c r="D958" s="16" t="s">
        <v>302</v>
      </c>
      <c r="E958" s="16" t="s">
        <v>3096</v>
      </c>
      <c r="F958" s="16" t="s">
        <v>69</v>
      </c>
      <c r="G958" s="16" t="s">
        <v>220</v>
      </c>
      <c r="H958" s="16" t="s">
        <v>238</v>
      </c>
      <c r="I958" s="16" t="s">
        <v>3097</v>
      </c>
      <c r="J958" s="16" t="s">
        <v>223</v>
      </c>
      <c r="K958" s="16" t="s">
        <v>3243</v>
      </c>
      <c r="L958" s="16" t="s">
        <v>3234</v>
      </c>
    </row>
    <row r="959" spans="1:12" x14ac:dyDescent="0.35">
      <c r="A959" s="16" t="s">
        <v>3098</v>
      </c>
      <c r="B959" s="17">
        <v>46370.465046296296</v>
      </c>
      <c r="C959" s="16" t="s">
        <v>216</v>
      </c>
      <c r="D959" s="16" t="s">
        <v>217</v>
      </c>
      <c r="E959" s="16" t="s">
        <v>3099</v>
      </c>
      <c r="F959" s="16" t="s">
        <v>237</v>
      </c>
      <c r="G959" s="16" t="s">
        <v>220</v>
      </c>
      <c r="H959" s="16" t="s">
        <v>221</v>
      </c>
      <c r="I959" s="16" t="s">
        <v>3100</v>
      </c>
      <c r="J959" s="16" t="s">
        <v>249</v>
      </c>
      <c r="K959" s="16" t="s">
        <v>3250</v>
      </c>
      <c r="L959" s="16" t="s">
        <v>3231</v>
      </c>
    </row>
    <row r="960" spans="1:12" x14ac:dyDescent="0.35">
      <c r="A960" s="16" t="s">
        <v>3101</v>
      </c>
      <c r="B960" s="17">
        <v>45494.072754629633</v>
      </c>
      <c r="C960" s="16" t="s">
        <v>241</v>
      </c>
      <c r="D960" s="16" t="s">
        <v>242</v>
      </c>
      <c r="E960" s="16" t="s">
        <v>3102</v>
      </c>
      <c r="F960" s="16" t="s">
        <v>237</v>
      </c>
      <c r="G960" s="16" t="s">
        <v>231</v>
      </c>
      <c r="H960" s="16" t="s">
        <v>238</v>
      </c>
      <c r="I960" s="16" t="s">
        <v>3103</v>
      </c>
      <c r="J960" s="16" t="s">
        <v>223</v>
      </c>
      <c r="K960" s="16" t="s">
        <v>3233</v>
      </c>
      <c r="L960" s="16" t="s">
        <v>3230</v>
      </c>
    </row>
    <row r="961" spans="1:12" x14ac:dyDescent="0.35">
      <c r="A961" s="16" t="s">
        <v>3104</v>
      </c>
      <c r="B961" s="17">
        <v>45822.014398148145</v>
      </c>
      <c r="C961" s="16" t="s">
        <v>260</v>
      </c>
      <c r="D961" s="16" t="s">
        <v>261</v>
      </c>
      <c r="E961" s="16" t="s">
        <v>3105</v>
      </c>
      <c r="F961" s="16" t="s">
        <v>219</v>
      </c>
      <c r="G961" s="16" t="s">
        <v>220</v>
      </c>
      <c r="H961" s="16" t="s">
        <v>273</v>
      </c>
      <c r="I961" s="16" t="s">
        <v>3106</v>
      </c>
      <c r="J961" s="16" t="s">
        <v>223</v>
      </c>
      <c r="K961" s="16" t="s">
        <v>3258</v>
      </c>
      <c r="L961" s="16" t="s">
        <v>3235</v>
      </c>
    </row>
    <row r="962" spans="1:12" x14ac:dyDescent="0.35">
      <c r="A962" s="16" t="s">
        <v>3107</v>
      </c>
      <c r="B962" s="17">
        <v>46050.377905092595</v>
      </c>
      <c r="C962" s="16" t="s">
        <v>241</v>
      </c>
      <c r="D962" s="16" t="s">
        <v>242</v>
      </c>
      <c r="E962" s="16" t="s">
        <v>3108</v>
      </c>
      <c r="F962" s="16" t="s">
        <v>219</v>
      </c>
      <c r="G962" s="16" t="s">
        <v>231</v>
      </c>
      <c r="H962" s="16" t="s">
        <v>238</v>
      </c>
      <c r="I962" s="16" t="s">
        <v>3109</v>
      </c>
      <c r="J962" s="16" t="s">
        <v>223</v>
      </c>
      <c r="K962" s="16" t="s">
        <v>3241</v>
      </c>
      <c r="L962" s="16" t="s">
        <v>3231</v>
      </c>
    </row>
    <row r="963" spans="1:12" x14ac:dyDescent="0.35">
      <c r="A963" s="16" t="s">
        <v>3110</v>
      </c>
      <c r="B963" s="17">
        <v>45879.418425925927</v>
      </c>
      <c r="C963" s="16" t="s">
        <v>301</v>
      </c>
      <c r="D963" s="16" t="s">
        <v>302</v>
      </c>
      <c r="E963" s="16" t="s">
        <v>3111</v>
      </c>
      <c r="F963" s="16" t="s">
        <v>219</v>
      </c>
      <c r="G963" s="16" t="s">
        <v>244</v>
      </c>
      <c r="H963" s="16" t="s">
        <v>232</v>
      </c>
      <c r="I963" s="16" t="s">
        <v>3112</v>
      </c>
      <c r="J963" s="16" t="s">
        <v>270</v>
      </c>
      <c r="K963" s="16" t="s">
        <v>3254</v>
      </c>
      <c r="L963" s="16" t="s">
        <v>3232</v>
      </c>
    </row>
    <row r="964" spans="1:12" x14ac:dyDescent="0.35">
      <c r="A964" s="16" t="s">
        <v>3113</v>
      </c>
      <c r="B964" s="17">
        <v>45476.962824074071</v>
      </c>
      <c r="C964" s="16" t="s">
        <v>301</v>
      </c>
      <c r="D964" s="16" t="s">
        <v>302</v>
      </c>
      <c r="E964" s="16" t="s">
        <v>3114</v>
      </c>
      <c r="F964" s="16" t="s">
        <v>69</v>
      </c>
      <c r="G964" s="16" t="s">
        <v>244</v>
      </c>
      <c r="H964" s="16" t="s">
        <v>232</v>
      </c>
      <c r="I964" s="16" t="s">
        <v>3115</v>
      </c>
      <c r="J964" s="16" t="s">
        <v>234</v>
      </c>
      <c r="K964" s="16" t="s">
        <v>3255</v>
      </c>
      <c r="L964" s="16" t="s">
        <v>3235</v>
      </c>
    </row>
    <row r="965" spans="1:12" x14ac:dyDescent="0.35">
      <c r="A965" s="16" t="s">
        <v>3116</v>
      </c>
      <c r="B965" s="17">
        <v>45877.840671296297</v>
      </c>
      <c r="C965" s="16" t="s">
        <v>241</v>
      </c>
      <c r="D965" s="16" t="s">
        <v>242</v>
      </c>
      <c r="E965" s="16" t="s">
        <v>3117</v>
      </c>
      <c r="F965" s="16" t="s">
        <v>69</v>
      </c>
      <c r="G965" s="16" t="s">
        <v>231</v>
      </c>
      <c r="H965" s="16" t="s">
        <v>221</v>
      </c>
      <c r="I965" s="16" t="s">
        <v>3118</v>
      </c>
      <c r="J965" s="16" t="s">
        <v>234</v>
      </c>
      <c r="K965" s="16" t="s">
        <v>3238</v>
      </c>
      <c r="L965" s="16" t="s">
        <v>3230</v>
      </c>
    </row>
    <row r="966" spans="1:12" x14ac:dyDescent="0.35">
      <c r="A966" s="16" t="s">
        <v>3119</v>
      </c>
      <c r="B966" s="17">
        <v>46382.189155092594</v>
      </c>
      <c r="C966" s="16" t="s">
        <v>260</v>
      </c>
      <c r="D966" s="16" t="s">
        <v>261</v>
      </c>
      <c r="E966" s="16" t="s">
        <v>3120</v>
      </c>
      <c r="F966" s="16" t="s">
        <v>69</v>
      </c>
      <c r="G966" s="16" t="s">
        <v>244</v>
      </c>
      <c r="H966" s="16" t="s">
        <v>232</v>
      </c>
      <c r="I966" s="16" t="s">
        <v>3121</v>
      </c>
      <c r="J966" s="16" t="s">
        <v>270</v>
      </c>
      <c r="K966" s="16" t="s">
        <v>3242</v>
      </c>
      <c r="L966" s="16" t="s">
        <v>3232</v>
      </c>
    </row>
    <row r="967" spans="1:12" x14ac:dyDescent="0.35">
      <c r="A967" s="16" t="s">
        <v>3122</v>
      </c>
      <c r="B967" s="17">
        <v>45792.801157407404</v>
      </c>
      <c r="C967" s="16" t="s">
        <v>260</v>
      </c>
      <c r="D967" s="16" t="s">
        <v>261</v>
      </c>
      <c r="E967" s="16" t="s">
        <v>3123</v>
      </c>
      <c r="F967" s="16" t="s">
        <v>219</v>
      </c>
      <c r="G967" s="16" t="s">
        <v>220</v>
      </c>
      <c r="H967" s="16" t="s">
        <v>273</v>
      </c>
      <c r="I967" s="16" t="s">
        <v>3124</v>
      </c>
      <c r="J967" s="16" t="s">
        <v>234</v>
      </c>
      <c r="K967" s="16" t="s">
        <v>3243</v>
      </c>
      <c r="L967" s="16" t="s">
        <v>3234</v>
      </c>
    </row>
    <row r="968" spans="1:12" x14ac:dyDescent="0.35">
      <c r="A968" s="16" t="s">
        <v>3125</v>
      </c>
      <c r="B968" s="17">
        <v>45565.779270833336</v>
      </c>
      <c r="C968" s="16" t="s">
        <v>228</v>
      </c>
      <c r="D968" s="16" t="s">
        <v>229</v>
      </c>
      <c r="E968" s="16" t="s">
        <v>3126</v>
      </c>
      <c r="F968" s="16" t="s">
        <v>69</v>
      </c>
      <c r="G968" s="16" t="s">
        <v>231</v>
      </c>
      <c r="H968" s="16" t="s">
        <v>221</v>
      </c>
      <c r="I968" s="16" t="s">
        <v>3127</v>
      </c>
      <c r="J968" s="16" t="s">
        <v>234</v>
      </c>
      <c r="K968" s="16" t="s">
        <v>3251</v>
      </c>
      <c r="L968" s="16" t="s">
        <v>3231</v>
      </c>
    </row>
    <row r="969" spans="1:12" x14ac:dyDescent="0.35">
      <c r="A969" s="16" t="s">
        <v>3128</v>
      </c>
      <c r="B969" s="17">
        <v>45803.817858796298</v>
      </c>
      <c r="C969" s="16" t="s">
        <v>301</v>
      </c>
      <c r="D969" s="16" t="s">
        <v>302</v>
      </c>
      <c r="E969" s="16" t="s">
        <v>3129</v>
      </c>
      <c r="F969" s="16" t="s">
        <v>237</v>
      </c>
      <c r="G969" s="16" t="s">
        <v>231</v>
      </c>
      <c r="H969" s="16" t="s">
        <v>221</v>
      </c>
      <c r="I969" s="16" t="s">
        <v>3130</v>
      </c>
      <c r="J969" s="16" t="s">
        <v>249</v>
      </c>
      <c r="K969" s="16" t="s">
        <v>3258</v>
      </c>
      <c r="L969" s="16" t="s">
        <v>3235</v>
      </c>
    </row>
    <row r="970" spans="1:12" x14ac:dyDescent="0.35">
      <c r="A970" s="16" t="s">
        <v>3131</v>
      </c>
      <c r="B970" s="17">
        <v>46098.329895833333</v>
      </c>
      <c r="C970" s="16" t="s">
        <v>228</v>
      </c>
      <c r="D970" s="16" t="s">
        <v>229</v>
      </c>
      <c r="E970" s="16" t="s">
        <v>3132</v>
      </c>
      <c r="F970" s="16" t="s">
        <v>219</v>
      </c>
      <c r="G970" s="16" t="s">
        <v>244</v>
      </c>
      <c r="H970" s="16" t="s">
        <v>221</v>
      </c>
      <c r="I970" s="16" t="s">
        <v>3133</v>
      </c>
      <c r="J970" s="16" t="s">
        <v>223</v>
      </c>
      <c r="K970" s="16" t="s">
        <v>3247</v>
      </c>
      <c r="L970" s="16" t="s">
        <v>3234</v>
      </c>
    </row>
    <row r="971" spans="1:12" x14ac:dyDescent="0.35">
      <c r="A971" s="16" t="s">
        <v>3134</v>
      </c>
      <c r="B971" s="17">
        <v>46234.498414351852</v>
      </c>
      <c r="C971" s="16" t="s">
        <v>216</v>
      </c>
      <c r="D971" s="16" t="s">
        <v>217</v>
      </c>
      <c r="E971" s="16" t="s">
        <v>3135</v>
      </c>
      <c r="F971" s="16" t="s">
        <v>237</v>
      </c>
      <c r="G971" s="16" t="s">
        <v>220</v>
      </c>
      <c r="H971" s="16" t="s">
        <v>238</v>
      </c>
      <c r="I971" s="16" t="s">
        <v>3136</v>
      </c>
      <c r="J971" s="16" t="s">
        <v>234</v>
      </c>
      <c r="K971" s="16" t="s">
        <v>3245</v>
      </c>
      <c r="L971" s="16" t="s">
        <v>3232</v>
      </c>
    </row>
    <row r="972" spans="1:12" x14ac:dyDescent="0.35">
      <c r="A972" s="16" t="s">
        <v>3137</v>
      </c>
      <c r="B972" s="17">
        <v>45499.653541666667</v>
      </c>
      <c r="C972" s="16" t="s">
        <v>260</v>
      </c>
      <c r="D972" s="16" t="s">
        <v>261</v>
      </c>
      <c r="E972" s="16" t="s">
        <v>3138</v>
      </c>
      <c r="F972" s="16" t="s">
        <v>69</v>
      </c>
      <c r="G972" s="16" t="s">
        <v>220</v>
      </c>
      <c r="H972" s="16" t="s">
        <v>238</v>
      </c>
      <c r="I972" s="16" t="s">
        <v>3139</v>
      </c>
      <c r="J972" s="16" t="s">
        <v>234</v>
      </c>
      <c r="K972" s="16" t="s">
        <v>3229</v>
      </c>
      <c r="L972" s="16" t="s">
        <v>3230</v>
      </c>
    </row>
    <row r="973" spans="1:12" x14ac:dyDescent="0.35">
      <c r="A973" s="16" t="s">
        <v>3140</v>
      </c>
      <c r="B973" s="17">
        <v>45306.236087962963</v>
      </c>
      <c r="C973" s="16" t="s">
        <v>260</v>
      </c>
      <c r="D973" s="16" t="s">
        <v>261</v>
      </c>
      <c r="E973" s="16" t="s">
        <v>3141</v>
      </c>
      <c r="F973" s="16" t="s">
        <v>237</v>
      </c>
      <c r="G973" s="16" t="s">
        <v>220</v>
      </c>
      <c r="H973" s="16" t="s">
        <v>221</v>
      </c>
      <c r="I973" s="16" t="s">
        <v>3142</v>
      </c>
      <c r="J973" s="16" t="s">
        <v>249</v>
      </c>
      <c r="K973" s="16" t="s">
        <v>3256</v>
      </c>
      <c r="L973" s="16" t="s">
        <v>3231</v>
      </c>
    </row>
    <row r="974" spans="1:12" x14ac:dyDescent="0.35">
      <c r="A974" s="16" t="s">
        <v>3143</v>
      </c>
      <c r="B974" s="17">
        <v>45665.813773148147</v>
      </c>
      <c r="C974" s="16" t="s">
        <v>301</v>
      </c>
      <c r="D974" s="16" t="s">
        <v>302</v>
      </c>
      <c r="E974" s="16" t="s">
        <v>3144</v>
      </c>
      <c r="F974" s="16" t="s">
        <v>69</v>
      </c>
      <c r="G974" s="16" t="s">
        <v>231</v>
      </c>
      <c r="H974" s="16" t="s">
        <v>238</v>
      </c>
      <c r="I974" s="16" t="s">
        <v>3145</v>
      </c>
      <c r="J974" s="16" t="s">
        <v>234</v>
      </c>
      <c r="K974" s="16" t="s">
        <v>3247</v>
      </c>
      <c r="L974" s="16" t="s">
        <v>3234</v>
      </c>
    </row>
    <row r="975" spans="1:12" x14ac:dyDescent="0.35">
      <c r="A975" s="16" t="s">
        <v>3146</v>
      </c>
      <c r="B975" s="17">
        <v>46027.301076388889</v>
      </c>
      <c r="C975" s="16" t="s">
        <v>301</v>
      </c>
      <c r="D975" s="16" t="s">
        <v>302</v>
      </c>
      <c r="E975" s="16" t="s">
        <v>3147</v>
      </c>
      <c r="F975" s="16" t="s">
        <v>69</v>
      </c>
      <c r="G975" s="16" t="s">
        <v>231</v>
      </c>
      <c r="H975" s="16" t="s">
        <v>232</v>
      </c>
      <c r="I975" s="16" t="s">
        <v>3148</v>
      </c>
      <c r="J975" s="16" t="s">
        <v>223</v>
      </c>
      <c r="K975" s="16" t="s">
        <v>3257</v>
      </c>
      <c r="L975" s="16" t="s">
        <v>3234</v>
      </c>
    </row>
    <row r="976" spans="1:12" x14ac:dyDescent="0.35">
      <c r="A976" s="16" t="s">
        <v>3149</v>
      </c>
      <c r="B976" s="17">
        <v>45620.301874999997</v>
      </c>
      <c r="C976" s="16" t="s">
        <v>260</v>
      </c>
      <c r="D976" s="16" t="s">
        <v>261</v>
      </c>
      <c r="E976" s="16" t="s">
        <v>3150</v>
      </c>
      <c r="F976" s="16" t="s">
        <v>219</v>
      </c>
      <c r="G976" s="16" t="s">
        <v>231</v>
      </c>
      <c r="H976" s="16" t="s">
        <v>238</v>
      </c>
      <c r="I976" s="16" t="s">
        <v>3151</v>
      </c>
      <c r="J976" s="16" t="s">
        <v>223</v>
      </c>
      <c r="K976" s="16" t="s">
        <v>3259</v>
      </c>
      <c r="L976" s="16" t="s">
        <v>3235</v>
      </c>
    </row>
    <row r="977" spans="1:12" x14ac:dyDescent="0.35">
      <c r="A977" s="16" t="s">
        <v>3152</v>
      </c>
      <c r="B977" s="17">
        <v>45957.606620370374</v>
      </c>
      <c r="C977" s="16" t="s">
        <v>241</v>
      </c>
      <c r="D977" s="16" t="s">
        <v>242</v>
      </c>
      <c r="E977" s="16" t="s">
        <v>3153</v>
      </c>
      <c r="F977" s="16" t="s">
        <v>219</v>
      </c>
      <c r="G977" s="16" t="s">
        <v>244</v>
      </c>
      <c r="H977" s="16" t="s">
        <v>232</v>
      </c>
      <c r="I977" s="16" t="s">
        <v>3154</v>
      </c>
      <c r="J977" s="16" t="s">
        <v>270</v>
      </c>
      <c r="K977" s="16" t="s">
        <v>3254</v>
      </c>
      <c r="L977" s="16" t="s">
        <v>3232</v>
      </c>
    </row>
    <row r="978" spans="1:12" x14ac:dyDescent="0.35">
      <c r="A978" s="16" t="s">
        <v>3155</v>
      </c>
      <c r="B978" s="17">
        <v>45610.522037037037</v>
      </c>
      <c r="C978" s="16" t="s">
        <v>216</v>
      </c>
      <c r="D978" s="16" t="s">
        <v>217</v>
      </c>
      <c r="E978" s="16" t="s">
        <v>3156</v>
      </c>
      <c r="F978" s="16" t="s">
        <v>69</v>
      </c>
      <c r="G978" s="16" t="s">
        <v>244</v>
      </c>
      <c r="H978" s="16" t="s">
        <v>221</v>
      </c>
      <c r="I978" s="16" t="s">
        <v>3157</v>
      </c>
      <c r="J978" s="16" t="s">
        <v>249</v>
      </c>
      <c r="K978" s="16" t="s">
        <v>3236</v>
      </c>
      <c r="L978" s="16" t="s">
        <v>3230</v>
      </c>
    </row>
    <row r="979" spans="1:12" x14ac:dyDescent="0.35">
      <c r="A979" s="16" t="s">
        <v>3158</v>
      </c>
      <c r="B979" s="17">
        <v>46181.728460648148</v>
      </c>
      <c r="C979" s="16" t="s">
        <v>260</v>
      </c>
      <c r="D979" s="16" t="s">
        <v>261</v>
      </c>
      <c r="E979" s="16" t="s">
        <v>3159</v>
      </c>
      <c r="F979" s="16" t="s">
        <v>237</v>
      </c>
      <c r="G979" s="16" t="s">
        <v>231</v>
      </c>
      <c r="H979" s="16" t="s">
        <v>273</v>
      </c>
      <c r="I979" s="16" t="s">
        <v>3160</v>
      </c>
      <c r="J979" s="16" t="s">
        <v>234</v>
      </c>
      <c r="K979" s="16" t="s">
        <v>3247</v>
      </c>
      <c r="L979" s="16" t="s">
        <v>3234</v>
      </c>
    </row>
    <row r="980" spans="1:12" x14ac:dyDescent="0.35">
      <c r="A980" s="16" t="s">
        <v>3161</v>
      </c>
      <c r="B980" s="17">
        <v>45674.378449074073</v>
      </c>
      <c r="C980" s="16" t="s">
        <v>241</v>
      </c>
      <c r="D980" s="16" t="s">
        <v>242</v>
      </c>
      <c r="E980" s="16" t="s">
        <v>3162</v>
      </c>
      <c r="F980" s="16" t="s">
        <v>69</v>
      </c>
      <c r="G980" s="16" t="s">
        <v>231</v>
      </c>
      <c r="H980" s="16" t="s">
        <v>277</v>
      </c>
      <c r="I980" s="16" t="s">
        <v>3163</v>
      </c>
      <c r="J980" s="16" t="s">
        <v>223</v>
      </c>
      <c r="K980" s="16" t="s">
        <v>3241</v>
      </c>
      <c r="L980" s="16" t="s">
        <v>3231</v>
      </c>
    </row>
    <row r="981" spans="1:12" x14ac:dyDescent="0.35">
      <c r="A981" s="16" t="s">
        <v>3164</v>
      </c>
      <c r="B981" s="17">
        <v>46320.927060185182</v>
      </c>
      <c r="C981" s="16" t="s">
        <v>228</v>
      </c>
      <c r="D981" s="16" t="s">
        <v>229</v>
      </c>
      <c r="E981" s="16" t="s">
        <v>3165</v>
      </c>
      <c r="F981" s="16" t="s">
        <v>69</v>
      </c>
      <c r="G981" s="16" t="s">
        <v>244</v>
      </c>
      <c r="H981" s="16" t="s">
        <v>232</v>
      </c>
      <c r="I981" s="16" t="s">
        <v>3166</v>
      </c>
      <c r="J981" s="16" t="s">
        <v>270</v>
      </c>
      <c r="K981" s="16" t="s">
        <v>3244</v>
      </c>
      <c r="L981" s="16" t="s">
        <v>3235</v>
      </c>
    </row>
    <row r="982" spans="1:12" x14ac:dyDescent="0.35">
      <c r="A982" s="16" t="s">
        <v>3167</v>
      </c>
      <c r="B982" s="17">
        <v>45852.291539351849</v>
      </c>
      <c r="C982" s="16" t="s">
        <v>228</v>
      </c>
      <c r="D982" s="16" t="s">
        <v>229</v>
      </c>
      <c r="E982" s="16" t="s">
        <v>3168</v>
      </c>
      <c r="F982" s="16" t="s">
        <v>237</v>
      </c>
      <c r="G982" s="16" t="s">
        <v>220</v>
      </c>
      <c r="H982" s="16" t="s">
        <v>232</v>
      </c>
      <c r="I982" s="16" t="s">
        <v>3169</v>
      </c>
      <c r="J982" s="16" t="s">
        <v>270</v>
      </c>
      <c r="K982" s="16" t="s">
        <v>3242</v>
      </c>
      <c r="L982" s="16" t="s">
        <v>3232</v>
      </c>
    </row>
    <row r="983" spans="1:12" x14ac:dyDescent="0.35">
      <c r="A983" s="16" t="s">
        <v>3170</v>
      </c>
      <c r="B983" s="17">
        <v>45919.960752314815</v>
      </c>
      <c r="C983" s="16" t="s">
        <v>260</v>
      </c>
      <c r="D983" s="16" t="s">
        <v>261</v>
      </c>
      <c r="E983" s="16" t="s">
        <v>3171</v>
      </c>
      <c r="F983" s="16" t="s">
        <v>69</v>
      </c>
      <c r="G983" s="16" t="s">
        <v>231</v>
      </c>
      <c r="H983" s="16" t="s">
        <v>232</v>
      </c>
      <c r="I983" s="16" t="s">
        <v>3172</v>
      </c>
      <c r="J983" s="16" t="s">
        <v>270</v>
      </c>
      <c r="K983" s="16" t="s">
        <v>3247</v>
      </c>
      <c r="L983" s="16" t="s">
        <v>3234</v>
      </c>
    </row>
    <row r="984" spans="1:12" x14ac:dyDescent="0.35">
      <c r="A984" s="16" t="s">
        <v>3173</v>
      </c>
      <c r="B984" s="17">
        <v>45915.166956018518</v>
      </c>
      <c r="C984" s="16" t="s">
        <v>241</v>
      </c>
      <c r="D984" s="16" t="s">
        <v>242</v>
      </c>
      <c r="E984" s="16" t="s">
        <v>3174</v>
      </c>
      <c r="F984" s="16" t="s">
        <v>237</v>
      </c>
      <c r="G984" s="16" t="s">
        <v>231</v>
      </c>
      <c r="H984" s="16" t="s">
        <v>232</v>
      </c>
      <c r="I984" s="16" t="s">
        <v>3175</v>
      </c>
      <c r="J984" s="16" t="s">
        <v>223</v>
      </c>
      <c r="K984" s="16" t="s">
        <v>3229</v>
      </c>
      <c r="L984" s="16" t="s">
        <v>3230</v>
      </c>
    </row>
    <row r="985" spans="1:12" x14ac:dyDescent="0.35">
      <c r="A985" s="16" t="s">
        <v>3176</v>
      </c>
      <c r="B985" s="17">
        <v>45664.062025462961</v>
      </c>
      <c r="C985" s="16" t="s">
        <v>228</v>
      </c>
      <c r="D985" s="16" t="s">
        <v>229</v>
      </c>
      <c r="E985" s="16" t="s">
        <v>3177</v>
      </c>
      <c r="F985" s="16" t="s">
        <v>69</v>
      </c>
      <c r="G985" s="16" t="s">
        <v>244</v>
      </c>
      <c r="H985" s="16" t="s">
        <v>238</v>
      </c>
      <c r="I985" s="16" t="s">
        <v>3178</v>
      </c>
      <c r="J985" s="16" t="s">
        <v>249</v>
      </c>
      <c r="K985" s="16" t="s">
        <v>3255</v>
      </c>
      <c r="L985" s="16" t="s">
        <v>3235</v>
      </c>
    </row>
    <row r="986" spans="1:12" x14ac:dyDescent="0.35">
      <c r="A986" s="16" t="s">
        <v>3179</v>
      </c>
      <c r="B986" s="17">
        <v>45498.653692129628</v>
      </c>
      <c r="C986" s="16" t="s">
        <v>260</v>
      </c>
      <c r="D986" s="16" t="s">
        <v>261</v>
      </c>
      <c r="E986" s="16" t="s">
        <v>3180</v>
      </c>
      <c r="F986" s="16" t="s">
        <v>237</v>
      </c>
      <c r="G986" s="16" t="s">
        <v>231</v>
      </c>
      <c r="H986" s="16" t="s">
        <v>238</v>
      </c>
      <c r="I986" s="16" t="s">
        <v>3181</v>
      </c>
      <c r="J986" s="16" t="s">
        <v>249</v>
      </c>
      <c r="K986" s="16" t="s">
        <v>3241</v>
      </c>
      <c r="L986" s="16" t="s">
        <v>3231</v>
      </c>
    </row>
    <row r="987" spans="1:12" x14ac:dyDescent="0.35">
      <c r="A987" s="16" t="s">
        <v>3182</v>
      </c>
      <c r="B987" s="17">
        <v>45558.502453703702</v>
      </c>
      <c r="C987" s="16" t="s">
        <v>216</v>
      </c>
      <c r="D987" s="16" t="s">
        <v>217</v>
      </c>
      <c r="E987" s="16" t="s">
        <v>3183</v>
      </c>
      <c r="F987" s="16" t="s">
        <v>219</v>
      </c>
      <c r="G987" s="16" t="s">
        <v>231</v>
      </c>
      <c r="H987" s="16" t="s">
        <v>221</v>
      </c>
      <c r="I987" s="16" t="s">
        <v>3184</v>
      </c>
      <c r="J987" s="16" t="s">
        <v>249</v>
      </c>
      <c r="K987" s="16" t="s">
        <v>3254</v>
      </c>
      <c r="L987" s="16" t="s">
        <v>3232</v>
      </c>
    </row>
    <row r="988" spans="1:12" x14ac:dyDescent="0.35">
      <c r="A988" s="16" t="s">
        <v>3185</v>
      </c>
      <c r="B988" s="17">
        <v>46078.132326388892</v>
      </c>
      <c r="C988" s="16" t="s">
        <v>228</v>
      </c>
      <c r="D988" s="16" t="s">
        <v>229</v>
      </c>
      <c r="E988" s="16" t="s">
        <v>3186</v>
      </c>
      <c r="F988" s="16" t="s">
        <v>69</v>
      </c>
      <c r="G988" s="16" t="s">
        <v>244</v>
      </c>
      <c r="H988" s="16" t="s">
        <v>238</v>
      </c>
      <c r="I988" s="16" t="s">
        <v>3187</v>
      </c>
      <c r="J988" s="16" t="s">
        <v>234</v>
      </c>
      <c r="K988" s="16" t="s">
        <v>3254</v>
      </c>
      <c r="L988" s="16" t="s">
        <v>3232</v>
      </c>
    </row>
    <row r="989" spans="1:12" x14ac:dyDescent="0.35">
      <c r="A989" s="16" t="s">
        <v>3188</v>
      </c>
      <c r="B989" s="17">
        <v>45445.82917824074</v>
      </c>
      <c r="C989" s="16" t="s">
        <v>228</v>
      </c>
      <c r="D989" s="16" t="s">
        <v>229</v>
      </c>
      <c r="E989" s="16" t="s">
        <v>3189</v>
      </c>
      <c r="F989" s="16" t="s">
        <v>237</v>
      </c>
      <c r="G989" s="16" t="s">
        <v>231</v>
      </c>
      <c r="H989" s="16" t="s">
        <v>232</v>
      </c>
      <c r="I989" s="16" t="s">
        <v>3190</v>
      </c>
      <c r="J989" s="16" t="s">
        <v>234</v>
      </c>
      <c r="K989" s="16" t="s">
        <v>3258</v>
      </c>
      <c r="L989" s="16" t="s">
        <v>3235</v>
      </c>
    </row>
    <row r="990" spans="1:12" x14ac:dyDescent="0.35">
      <c r="A990" s="16" t="s">
        <v>3191</v>
      </c>
      <c r="B990" s="17">
        <v>46148.835115740738</v>
      </c>
      <c r="C990" s="16" t="s">
        <v>216</v>
      </c>
      <c r="D990" s="16" t="s">
        <v>217</v>
      </c>
      <c r="E990" s="16" t="s">
        <v>3192</v>
      </c>
      <c r="F990" s="16" t="s">
        <v>219</v>
      </c>
      <c r="G990" s="16" t="s">
        <v>231</v>
      </c>
      <c r="H990" s="16" t="s">
        <v>277</v>
      </c>
      <c r="I990" s="16" t="s">
        <v>3193</v>
      </c>
      <c r="J990" s="16" t="s">
        <v>270</v>
      </c>
      <c r="K990" s="16" t="s">
        <v>3237</v>
      </c>
      <c r="L990" s="16" t="s">
        <v>3230</v>
      </c>
    </row>
    <row r="991" spans="1:12" x14ac:dyDescent="0.35">
      <c r="A991" s="16" t="s">
        <v>3194</v>
      </c>
      <c r="B991" s="17">
        <v>46150.794560185182</v>
      </c>
      <c r="C991" s="16" t="s">
        <v>260</v>
      </c>
      <c r="D991" s="16" t="s">
        <v>261</v>
      </c>
      <c r="E991" s="16" t="s">
        <v>3195</v>
      </c>
      <c r="F991" s="16" t="s">
        <v>69</v>
      </c>
      <c r="G991" s="16" t="s">
        <v>220</v>
      </c>
      <c r="H991" s="16" t="s">
        <v>221</v>
      </c>
      <c r="I991" s="16" t="s">
        <v>3196</v>
      </c>
      <c r="J991" s="16" t="s">
        <v>234</v>
      </c>
      <c r="K991" s="16" t="s">
        <v>3245</v>
      </c>
      <c r="L991" s="16" t="s">
        <v>3232</v>
      </c>
    </row>
    <row r="992" spans="1:12" x14ac:dyDescent="0.35">
      <c r="A992" s="16" t="s">
        <v>3197</v>
      </c>
      <c r="B992" s="17">
        <v>45416.288518518515</v>
      </c>
      <c r="C992" s="16" t="s">
        <v>301</v>
      </c>
      <c r="D992" s="16" t="s">
        <v>302</v>
      </c>
      <c r="E992" s="16" t="s">
        <v>3198</v>
      </c>
      <c r="F992" s="16" t="s">
        <v>237</v>
      </c>
      <c r="G992" s="16" t="s">
        <v>244</v>
      </c>
      <c r="H992" s="16" t="s">
        <v>221</v>
      </c>
      <c r="I992" s="16" t="s">
        <v>3199</v>
      </c>
      <c r="J992" s="16" t="s">
        <v>270</v>
      </c>
      <c r="K992" s="16" t="s">
        <v>3241</v>
      </c>
      <c r="L992" s="16" t="s">
        <v>3231</v>
      </c>
    </row>
    <row r="993" spans="1:12" x14ac:dyDescent="0.35">
      <c r="A993" s="16" t="s">
        <v>3200</v>
      </c>
      <c r="B993" s="17">
        <v>46078.853321759256</v>
      </c>
      <c r="C993" s="16" t="s">
        <v>228</v>
      </c>
      <c r="D993" s="16" t="s">
        <v>229</v>
      </c>
      <c r="E993" s="16" t="s">
        <v>3201</v>
      </c>
      <c r="F993" s="16" t="s">
        <v>237</v>
      </c>
      <c r="G993" s="16" t="s">
        <v>244</v>
      </c>
      <c r="H993" s="16" t="s">
        <v>232</v>
      </c>
      <c r="I993" s="16" t="s">
        <v>3202</v>
      </c>
      <c r="J993" s="16" t="s">
        <v>234</v>
      </c>
      <c r="K993" s="16" t="s">
        <v>3251</v>
      </c>
      <c r="L993" s="16" t="s">
        <v>3231</v>
      </c>
    </row>
    <row r="994" spans="1:12" x14ac:dyDescent="0.35">
      <c r="A994" s="16" t="s">
        <v>3203</v>
      </c>
      <c r="B994" s="17">
        <v>45738.898252314815</v>
      </c>
      <c r="C994" s="16" t="s">
        <v>216</v>
      </c>
      <c r="D994" s="16" t="s">
        <v>217</v>
      </c>
      <c r="E994" s="16" t="s">
        <v>3204</v>
      </c>
      <c r="F994" s="16" t="s">
        <v>219</v>
      </c>
      <c r="G994" s="16" t="s">
        <v>231</v>
      </c>
      <c r="H994" s="16" t="s">
        <v>277</v>
      </c>
      <c r="I994" s="16" t="s">
        <v>3205</v>
      </c>
      <c r="J994" s="16" t="s">
        <v>249</v>
      </c>
      <c r="K994" s="16" t="s">
        <v>3259</v>
      </c>
      <c r="L994" s="16" t="s">
        <v>3235</v>
      </c>
    </row>
    <row r="995" spans="1:12" x14ac:dyDescent="0.35">
      <c r="A995" s="16" t="s">
        <v>3206</v>
      </c>
      <c r="B995" s="17">
        <v>45841.837627314817</v>
      </c>
      <c r="C995" s="16" t="s">
        <v>301</v>
      </c>
      <c r="D995" s="16" t="s">
        <v>302</v>
      </c>
      <c r="E995" s="16" t="s">
        <v>3207</v>
      </c>
      <c r="F995" s="16" t="s">
        <v>69</v>
      </c>
      <c r="G995" s="16" t="s">
        <v>220</v>
      </c>
      <c r="H995" s="16" t="s">
        <v>277</v>
      </c>
      <c r="I995" s="16" t="s">
        <v>3208</v>
      </c>
      <c r="J995" s="16" t="s">
        <v>234</v>
      </c>
      <c r="K995" s="16" t="s">
        <v>3255</v>
      </c>
      <c r="L995" s="16" t="s">
        <v>3235</v>
      </c>
    </row>
    <row r="996" spans="1:12" x14ac:dyDescent="0.35">
      <c r="A996" s="16" t="s">
        <v>3209</v>
      </c>
      <c r="B996" s="17">
        <v>45860.20171296296</v>
      </c>
      <c r="C996" s="16" t="s">
        <v>301</v>
      </c>
      <c r="D996" s="16" t="s">
        <v>302</v>
      </c>
      <c r="E996" s="16" t="s">
        <v>3210</v>
      </c>
      <c r="F996" s="16" t="s">
        <v>69</v>
      </c>
      <c r="G996" s="16" t="s">
        <v>244</v>
      </c>
      <c r="H996" s="16" t="s">
        <v>221</v>
      </c>
      <c r="I996" s="16" t="s">
        <v>3211</v>
      </c>
      <c r="J996" s="16" t="s">
        <v>270</v>
      </c>
      <c r="K996" s="16" t="s">
        <v>3244</v>
      </c>
      <c r="L996" s="16" t="s">
        <v>3235</v>
      </c>
    </row>
    <row r="997" spans="1:12" x14ac:dyDescent="0.35">
      <c r="A997" s="16" t="s">
        <v>3212</v>
      </c>
      <c r="B997" s="17">
        <v>46047.492361111108</v>
      </c>
      <c r="C997" s="16" t="s">
        <v>216</v>
      </c>
      <c r="D997" s="16" t="s">
        <v>217</v>
      </c>
      <c r="E997" s="16" t="s">
        <v>3213</v>
      </c>
      <c r="F997" s="16" t="s">
        <v>219</v>
      </c>
      <c r="G997" s="16" t="s">
        <v>244</v>
      </c>
      <c r="H997" s="16" t="s">
        <v>238</v>
      </c>
      <c r="I997" s="16" t="s">
        <v>3214</v>
      </c>
      <c r="J997" s="16" t="s">
        <v>234</v>
      </c>
      <c r="K997" s="16" t="s">
        <v>3242</v>
      </c>
      <c r="L997" s="16" t="s">
        <v>3232</v>
      </c>
    </row>
    <row r="998" spans="1:12" x14ac:dyDescent="0.35">
      <c r="A998" s="16" t="s">
        <v>3215</v>
      </c>
      <c r="B998" s="17">
        <v>45956.086863425924</v>
      </c>
      <c r="C998" s="16" t="s">
        <v>260</v>
      </c>
      <c r="D998" s="16" t="s">
        <v>261</v>
      </c>
      <c r="E998" s="16" t="s">
        <v>3216</v>
      </c>
      <c r="F998" s="16" t="s">
        <v>69</v>
      </c>
      <c r="G998" s="16" t="s">
        <v>231</v>
      </c>
      <c r="H998" s="16" t="s">
        <v>273</v>
      </c>
      <c r="I998" s="16" t="s">
        <v>3217</v>
      </c>
      <c r="J998" s="16" t="s">
        <v>249</v>
      </c>
      <c r="K998" s="16" t="s">
        <v>3244</v>
      </c>
      <c r="L998" s="16" t="s">
        <v>3235</v>
      </c>
    </row>
    <row r="999" spans="1:12" x14ac:dyDescent="0.35">
      <c r="A999" s="16" t="s">
        <v>3218</v>
      </c>
      <c r="B999" s="17">
        <v>45509.579479166663</v>
      </c>
      <c r="C999" s="16" t="s">
        <v>228</v>
      </c>
      <c r="D999" s="16" t="s">
        <v>229</v>
      </c>
      <c r="E999" s="16" t="s">
        <v>3219</v>
      </c>
      <c r="F999" s="16" t="s">
        <v>237</v>
      </c>
      <c r="G999" s="16" t="s">
        <v>244</v>
      </c>
      <c r="H999" s="16" t="s">
        <v>238</v>
      </c>
      <c r="I999" s="16" t="s">
        <v>3220</v>
      </c>
      <c r="J999" s="16" t="s">
        <v>234</v>
      </c>
      <c r="K999" s="16" t="s">
        <v>3251</v>
      </c>
      <c r="L999" s="16" t="s">
        <v>3231</v>
      </c>
    </row>
    <row r="1000" spans="1:12" x14ac:dyDescent="0.35">
      <c r="A1000" s="16" t="s">
        <v>3221</v>
      </c>
      <c r="B1000" s="17">
        <v>46101.236111111109</v>
      </c>
      <c r="C1000" s="16" t="s">
        <v>301</v>
      </c>
      <c r="D1000" s="16" t="s">
        <v>302</v>
      </c>
      <c r="E1000" s="16" t="s">
        <v>3222</v>
      </c>
      <c r="F1000" s="16" t="s">
        <v>69</v>
      </c>
      <c r="G1000" s="16" t="s">
        <v>244</v>
      </c>
      <c r="H1000" s="16" t="s">
        <v>238</v>
      </c>
      <c r="I1000" s="16" t="s">
        <v>3223</v>
      </c>
      <c r="J1000" s="16" t="s">
        <v>234</v>
      </c>
      <c r="K1000" s="16" t="s">
        <v>3229</v>
      </c>
      <c r="L1000" s="16" t="s">
        <v>3230</v>
      </c>
    </row>
    <row r="1001" spans="1:12" x14ac:dyDescent="0.35">
      <c r="A1001" s="16" t="s">
        <v>3224</v>
      </c>
      <c r="B1001" s="17">
        <v>45663.696909722225</v>
      </c>
      <c r="C1001" s="16" t="s">
        <v>260</v>
      </c>
      <c r="D1001" s="16" t="s">
        <v>261</v>
      </c>
      <c r="E1001" s="16" t="s">
        <v>3225</v>
      </c>
      <c r="F1001" s="16" t="s">
        <v>69</v>
      </c>
      <c r="G1001" s="16" t="s">
        <v>220</v>
      </c>
      <c r="H1001" s="16" t="s">
        <v>221</v>
      </c>
      <c r="I1001" s="16" t="s">
        <v>3226</v>
      </c>
      <c r="J1001" s="16" t="s">
        <v>234</v>
      </c>
      <c r="K1001" s="16" t="s">
        <v>3229</v>
      </c>
      <c r="L1001" s="16" t="s">
        <v>3230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BF0B-ACE1-4A87-901F-1DFBF0EF8B6B}">
  <dimension ref="D4:J18"/>
  <sheetViews>
    <sheetView showGridLines="0" topLeftCell="C1" zoomScale="120" zoomScaleNormal="120" workbookViewId="0">
      <selection activeCell="I2" sqref="I2"/>
    </sheetView>
  </sheetViews>
  <sheetFormatPr defaultRowHeight="14.25" x14ac:dyDescent="0.45"/>
  <cols>
    <col min="4" max="4" width="10.59765625" bestFit="1" customWidth="1"/>
    <col min="5" max="5" width="13.59765625" bestFit="1" customWidth="1"/>
    <col min="6" max="6" width="12.3984375" bestFit="1" customWidth="1"/>
    <col min="7" max="7" width="17.59765625" bestFit="1" customWidth="1"/>
    <col min="8" max="8" width="37.86328125" bestFit="1" customWidth="1"/>
    <col min="9" max="9" width="42.1328125" bestFit="1" customWidth="1"/>
  </cols>
  <sheetData>
    <row r="4" spans="4:10" ht="18" x14ac:dyDescent="0.55000000000000004">
      <c r="D4" s="2" t="s">
        <v>36</v>
      </c>
      <c r="E4" s="2" t="s">
        <v>6</v>
      </c>
      <c r="F4" s="2" t="s">
        <v>5</v>
      </c>
      <c r="G4" s="2" t="s">
        <v>7</v>
      </c>
      <c r="H4" s="2" t="s">
        <v>31</v>
      </c>
      <c r="I4" s="2" t="s">
        <v>43</v>
      </c>
    </row>
    <row r="5" spans="4:10" ht="18" x14ac:dyDescent="0.45">
      <c r="D5" t="s">
        <v>37</v>
      </c>
      <c r="E5" s="1" t="s">
        <v>0</v>
      </c>
      <c r="F5" s="1" t="s">
        <v>2</v>
      </c>
      <c r="G5" s="1" t="s">
        <v>8</v>
      </c>
      <c r="H5" s="5" t="s">
        <v>32</v>
      </c>
    </row>
    <row r="6" spans="4:10" ht="18" x14ac:dyDescent="0.45">
      <c r="D6" t="s">
        <v>38</v>
      </c>
      <c r="E6" s="1" t="s">
        <v>1</v>
      </c>
      <c r="F6" s="1" t="s">
        <v>2</v>
      </c>
      <c r="G6" s="1" t="s">
        <v>11</v>
      </c>
      <c r="H6" s="5" t="s">
        <v>33</v>
      </c>
    </row>
    <row r="7" spans="4:10" ht="18" x14ac:dyDescent="0.45">
      <c r="D7" t="s">
        <v>39</v>
      </c>
      <c r="E7" s="1" t="s">
        <v>0</v>
      </c>
      <c r="F7" s="1" t="s">
        <v>3</v>
      </c>
      <c r="G7" s="1" t="s">
        <v>9</v>
      </c>
      <c r="H7" s="5" t="s">
        <v>42</v>
      </c>
    </row>
    <row r="8" spans="4:10" ht="18" x14ac:dyDescent="0.45">
      <c r="D8" t="s">
        <v>40</v>
      </c>
      <c r="E8" s="1" t="s">
        <v>1</v>
      </c>
      <c r="F8" s="1" t="s">
        <v>3</v>
      </c>
      <c r="G8" s="1" t="s">
        <v>10</v>
      </c>
      <c r="H8" s="5" t="s">
        <v>34</v>
      </c>
    </row>
    <row r="9" spans="4:10" ht="18" x14ac:dyDescent="0.45">
      <c r="D9" t="s">
        <v>41</v>
      </c>
      <c r="E9" s="1" t="s">
        <v>0</v>
      </c>
      <c r="F9" s="1" t="s">
        <v>4</v>
      </c>
      <c r="G9" s="1" t="s">
        <v>12</v>
      </c>
      <c r="H9" s="5" t="s">
        <v>35</v>
      </c>
    </row>
    <row r="10" spans="4:10" ht="18" x14ac:dyDescent="0.45">
      <c r="E10" s="1"/>
      <c r="F10" s="1"/>
      <c r="G10" s="1"/>
      <c r="H10" s="1"/>
    </row>
    <row r="11" spans="4:10" ht="18" x14ac:dyDescent="0.45">
      <c r="E11" s="1"/>
      <c r="F11" s="1"/>
      <c r="G11" s="1"/>
      <c r="H11" s="1"/>
    </row>
    <row r="12" spans="4:10" ht="18" x14ac:dyDescent="0.45">
      <c r="E12" s="1"/>
      <c r="F12" s="1"/>
      <c r="G12" s="1"/>
      <c r="H12" s="1"/>
    </row>
    <row r="13" spans="4:10" ht="18" x14ac:dyDescent="0.55000000000000004">
      <c r="D13" s="2" t="s">
        <v>36</v>
      </c>
      <c r="E13" s="2" t="s">
        <v>6</v>
      </c>
      <c r="F13" s="2" t="s">
        <v>5</v>
      </c>
      <c r="G13" s="2" t="s">
        <v>7</v>
      </c>
      <c r="H13" s="2" t="s">
        <v>31</v>
      </c>
      <c r="I13" s="2" t="s">
        <v>43</v>
      </c>
    </row>
    <row r="14" spans="4:10" ht="18" x14ac:dyDescent="0.45">
      <c r="D14" t="s">
        <v>37</v>
      </c>
      <c r="E14" s="1" t="s">
        <v>0</v>
      </c>
      <c r="F14" s="1" t="s">
        <v>2</v>
      </c>
      <c r="G14" s="1" t="s">
        <v>8</v>
      </c>
      <c r="H14" s="5" t="s">
        <v>32</v>
      </c>
      <c r="I14" t="str">
        <f>REPLACE(H14,J14,1,"Small")</f>
        <v>His Shirt size is Small of Louis Vuitton</v>
      </c>
      <c r="J14" s="3">
        <v>19</v>
      </c>
    </row>
    <row r="15" spans="4:10" ht="18" x14ac:dyDescent="0.45">
      <c r="D15" t="s">
        <v>38</v>
      </c>
      <c r="E15" s="1" t="s">
        <v>1</v>
      </c>
      <c r="F15" s="1" t="s">
        <v>2</v>
      </c>
      <c r="G15" s="1" t="s">
        <v>11</v>
      </c>
      <c r="H15" s="5" t="s">
        <v>33</v>
      </c>
    </row>
    <row r="16" spans="4:10" ht="18" x14ac:dyDescent="0.45">
      <c r="D16" t="s">
        <v>39</v>
      </c>
      <c r="E16" s="1" t="s">
        <v>0</v>
      </c>
      <c r="F16" s="1" t="s">
        <v>3</v>
      </c>
      <c r="G16" s="1" t="s">
        <v>9</v>
      </c>
      <c r="H16" s="5" t="s">
        <v>42</v>
      </c>
    </row>
    <row r="17" spans="4:8" ht="18" x14ac:dyDescent="0.45">
      <c r="D17" t="s">
        <v>40</v>
      </c>
      <c r="E17" s="1" t="s">
        <v>1</v>
      </c>
      <c r="F17" s="1" t="s">
        <v>3</v>
      </c>
      <c r="G17" s="1" t="s">
        <v>10</v>
      </c>
      <c r="H17" s="5" t="s">
        <v>34</v>
      </c>
    </row>
    <row r="18" spans="4:8" ht="18" x14ac:dyDescent="0.45">
      <c r="D18" t="s">
        <v>41</v>
      </c>
      <c r="E18" s="1" t="s">
        <v>0</v>
      </c>
      <c r="F18" s="1" t="s">
        <v>4</v>
      </c>
      <c r="G18" s="1" t="s">
        <v>12</v>
      </c>
      <c r="H18" s="5" t="s">
        <v>35</v>
      </c>
    </row>
  </sheetData>
  <customSheetViews>
    <customSheetView guid="{4725FB26-BADE-478E-8CB6-C0172942A9EE}" scale="120" showGridLines="0" state="hidden" topLeftCell="C1">
      <selection activeCell="I2" sqref="I2"/>
      <pageMargins left="0.7" right="0.7" top="0.75" bottom="0.75" header="0.3" footer="0.3"/>
    </customSheetView>
    <customSheetView guid="{5B82F60B-B869-45D3-9A7D-2B843E789197}" scale="120" showGridLines="0" state="hidden" topLeftCell="C1">
      <selection activeCell="I2" sqref="I2"/>
      <pageMargins left="0.7" right="0.7" top="0.75" bottom="0.75" header="0.3" footer="0.3"/>
    </customSheetView>
    <customSheetView guid="{73745901-4C3A-49DD-83C4-0AEBB167DB63}" scale="120" showGridLines="0" state="hidden" topLeftCell="C1">
      <selection activeCell="I2" sqref="I2"/>
      <pageMargins left="0.7" right="0.7" top="0.75" bottom="0.75" header="0.3" footer="0.3"/>
    </customSheetView>
    <customSheetView guid="{AE37E6D9-7485-4A75-9115-FDBD1A6E08D0}" scale="120" showGridLines="0" state="hidden" topLeftCell="C1">
      <selection activeCell="I2" sqref="I2"/>
      <pageMargins left="0.7" right="0.7" top="0.75" bottom="0.75" header="0.3" footer="0.3"/>
    </customSheetView>
    <customSheetView guid="{28C5C254-2672-4A7F-9398-2FA6F99EE3FF}" scale="120" showGridLines="0" state="hidden" topLeftCell="C1">
      <selection activeCell="I2" sqref="I2"/>
      <pageMargins left="0.7" right="0.7" top="0.75" bottom="0.75" header="0.3" footer="0.3"/>
    </customSheetView>
    <customSheetView guid="{9967D63C-4135-4BF7-A83B-0EC0A28A8504}" scale="120" showGridLines="0" state="hidden" topLeftCell="C1">
      <selection activeCell="I2" sqref="I2"/>
      <pageMargins left="0.7" right="0.7" top="0.75" bottom="0.75" header="0.3" footer="0.3"/>
    </customSheetView>
    <customSheetView guid="{8DC39A41-9961-4A5C-8659-B8A82A01A470}" scale="120" showGridLines="0" state="hidden" topLeftCell="C1">
      <selection activeCell="I2" sqref="I2"/>
      <pageMargins left="0.7" right="0.7" top="0.75" bottom="0.75" header="0.3" footer="0.3"/>
    </customSheetView>
    <customSheetView guid="{06F040C9-291C-44DD-A11A-B2BAF2078CA1}" scale="120" showGridLines="0" state="hidden" topLeftCell="C1">
      <selection activeCell="I2" sqref="I2"/>
      <pageMargins left="0.7" right="0.7" top="0.75" bottom="0.75" header="0.3" footer="0.3"/>
    </customSheetView>
    <customSheetView guid="{AC1AC0BB-7D81-4427-80BF-DB36D3CC12C1}" scale="120" showGridLines="0" state="hidden" topLeftCell="C1">
      <selection activeCell="I2" sqref="I2"/>
      <pageMargins left="0.7" right="0.7" top="0.75" bottom="0.75" header="0.3" footer="0.3"/>
    </customSheetView>
    <customSheetView guid="{31F90F3E-FB31-437F-ADCE-44D58804C41D}" scale="120" showGridLines="0" state="hidden" topLeftCell="C1">
      <selection activeCell="I2" sqref="I2"/>
      <pageMargins left="0.7" right="0.7" top="0.75" bottom="0.75" header="0.3" footer="0.3"/>
    </customSheetView>
    <customSheetView guid="{57F7A421-8FD3-4470-813D-526D207C0AED}" scale="120" showGridLines="0" state="hidden" topLeftCell="C1">
      <selection activeCell="I2" sqref="I2"/>
      <pageMargins left="0.7" right="0.7" top="0.75" bottom="0.75" header="0.3" footer="0.3"/>
    </customSheetView>
    <customSheetView guid="{E065FC95-9F37-4AD0-A6AF-202A080459EB}" scale="120" showGridLines="0" state="hidden" topLeftCell="C1">
      <selection activeCell="I2" sqref="I2"/>
      <pageMargins left="0.7" right="0.7" top="0.75" bottom="0.75" header="0.3" footer="0.3"/>
    </customSheetView>
    <customSheetView guid="{A979108F-FF23-4967-8663-1A0C9618D854}" scale="120" showGridLines="0" state="hidden" topLeftCell="C1">
      <selection activeCell="I2" sqref="I2"/>
      <pageMargins left="0.7" right="0.7" top="0.75" bottom="0.75" header="0.3" footer="0.3"/>
    </customSheetView>
    <customSheetView guid="{AD9596A8-734D-48AD-8922-A58933E39AB8}" scale="120" showGridLines="0" state="hidden" topLeftCell="C1">
      <selection activeCell="I2" sqref="I2"/>
      <pageMargins left="0.7" right="0.7" top="0.75" bottom="0.75" header="0.3" footer="0.3"/>
    </customSheetView>
    <customSheetView guid="{DFB07116-697D-42FF-ACBD-E8FE92938B16}" scale="120" showGridLines="0" state="hidden" topLeftCell="C1">
      <selection activeCell="I2" sqref="I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77BC-874F-4CCF-AE5E-49A33B3534FB}">
  <dimension ref="C4:H80"/>
  <sheetViews>
    <sheetView showGridLines="0" topLeftCell="B1" zoomScale="130" zoomScaleNormal="130" workbookViewId="0">
      <selection activeCell="D6" sqref="D6"/>
    </sheetView>
  </sheetViews>
  <sheetFormatPr defaultRowHeight="14.25" x14ac:dyDescent="0.45"/>
  <cols>
    <col min="3" max="3" width="13.59765625" bestFit="1" customWidth="1"/>
    <col min="4" max="4" width="12.3984375" bestFit="1" customWidth="1"/>
    <col min="5" max="5" width="17.59765625" bestFit="1" customWidth="1"/>
    <col min="6" max="6" width="26.265625" bestFit="1" customWidth="1"/>
    <col min="7" max="7" width="13.265625" customWidth="1"/>
    <col min="8" max="8" width="32.3984375" bestFit="1" customWidth="1"/>
  </cols>
  <sheetData>
    <row r="4" spans="3:8" ht="18" x14ac:dyDescent="0.55000000000000004">
      <c r="C4" s="2" t="s">
        <v>6</v>
      </c>
      <c r="D4" s="2" t="s">
        <v>5</v>
      </c>
      <c r="E4" s="2" t="s">
        <v>7</v>
      </c>
      <c r="F4" s="2" t="s">
        <v>44</v>
      </c>
      <c r="G4" s="2" t="s">
        <v>45</v>
      </c>
      <c r="H4" s="2" t="s">
        <v>46</v>
      </c>
    </row>
    <row r="5" spans="3:8" ht="18" x14ac:dyDescent="0.45">
      <c r="C5" s="1" t="s">
        <v>0</v>
      </c>
      <c r="D5" s="1" t="s">
        <v>2</v>
      </c>
      <c r="E5" s="1" t="s">
        <v>8</v>
      </c>
      <c r="F5" s="6">
        <v>44846</v>
      </c>
      <c r="G5" s="6">
        <f ca="1">TODAY()</f>
        <v>46104</v>
      </c>
      <c r="H5" s="3"/>
    </row>
    <row r="6" spans="3:8" ht="18" x14ac:dyDescent="0.45">
      <c r="C6" s="1" t="s">
        <v>1</v>
      </c>
      <c r="D6" s="1" t="s">
        <v>2</v>
      </c>
      <c r="E6" s="1" t="s">
        <v>11</v>
      </c>
      <c r="F6" s="6">
        <v>44331</v>
      </c>
      <c r="G6" s="6">
        <f t="shared" ref="G6:G13" ca="1" si="0">TODAY()</f>
        <v>46104</v>
      </c>
      <c r="H6" s="3"/>
    </row>
    <row r="7" spans="3:8" ht="18" x14ac:dyDescent="0.45">
      <c r="C7" s="1" t="s">
        <v>0</v>
      </c>
      <c r="D7" s="1" t="s">
        <v>3</v>
      </c>
      <c r="E7" s="1" t="s">
        <v>9</v>
      </c>
      <c r="F7" s="6">
        <v>40188</v>
      </c>
      <c r="G7" s="6">
        <f t="shared" ca="1" si="0"/>
        <v>46104</v>
      </c>
      <c r="H7" s="3"/>
    </row>
    <row r="8" spans="3:8" ht="18" x14ac:dyDescent="0.45">
      <c r="C8" s="1" t="s">
        <v>1</v>
      </c>
      <c r="D8" s="1" t="s">
        <v>3</v>
      </c>
      <c r="E8" s="1" t="s">
        <v>10</v>
      </c>
      <c r="F8" s="6">
        <v>44860</v>
      </c>
      <c r="G8" s="6">
        <f t="shared" ca="1" si="0"/>
        <v>46104</v>
      </c>
      <c r="H8" s="3"/>
    </row>
    <row r="9" spans="3:8" ht="18" x14ac:dyDescent="0.45">
      <c r="C9" s="1" t="s">
        <v>0</v>
      </c>
      <c r="D9" s="1" t="s">
        <v>4</v>
      </c>
      <c r="E9" s="1" t="s">
        <v>12</v>
      </c>
      <c r="F9" s="6">
        <v>44512</v>
      </c>
      <c r="G9" s="6">
        <f t="shared" ca="1" si="0"/>
        <v>46104</v>
      </c>
      <c r="H9" s="3"/>
    </row>
    <row r="10" spans="3:8" ht="18" x14ac:dyDescent="0.45">
      <c r="C10" s="1" t="s">
        <v>1</v>
      </c>
      <c r="D10" s="1" t="s">
        <v>4</v>
      </c>
      <c r="E10" s="1" t="s">
        <v>14</v>
      </c>
      <c r="F10" s="6">
        <v>44592</v>
      </c>
      <c r="G10" s="6">
        <f t="shared" ca="1" si="0"/>
        <v>46104</v>
      </c>
      <c r="H10" s="3"/>
    </row>
    <row r="11" spans="3:8" ht="18" x14ac:dyDescent="0.45">
      <c r="C11" s="1" t="s">
        <v>0</v>
      </c>
      <c r="D11" s="1" t="s">
        <v>2</v>
      </c>
      <c r="E11" s="1" t="s">
        <v>13</v>
      </c>
      <c r="F11" s="6">
        <v>44560</v>
      </c>
      <c r="G11" s="6">
        <f t="shared" ca="1" si="0"/>
        <v>46104</v>
      </c>
      <c r="H11" s="3"/>
    </row>
    <row r="12" spans="3:8" ht="18" x14ac:dyDescent="0.45">
      <c r="C12" s="1" t="s">
        <v>1</v>
      </c>
      <c r="D12" s="1" t="s">
        <v>3</v>
      </c>
      <c r="E12" s="1" t="s">
        <v>16</v>
      </c>
      <c r="F12" s="6">
        <v>44566</v>
      </c>
      <c r="G12" s="6">
        <f t="shared" ca="1" si="0"/>
        <v>46104</v>
      </c>
      <c r="H12" s="3"/>
    </row>
    <row r="13" spans="3:8" ht="18" x14ac:dyDescent="0.45">
      <c r="C13" s="1" t="s">
        <v>1</v>
      </c>
      <c r="D13" s="1" t="s">
        <v>4</v>
      </c>
      <c r="E13" s="1" t="s">
        <v>15</v>
      </c>
      <c r="F13" s="6">
        <v>43267</v>
      </c>
      <c r="G13" s="6">
        <f t="shared" ca="1" si="0"/>
        <v>46104</v>
      </c>
      <c r="H13" s="3"/>
    </row>
    <row r="24" spans="3:6" ht="18" x14ac:dyDescent="0.55000000000000004">
      <c r="C24" s="2" t="s">
        <v>6</v>
      </c>
      <c r="D24" s="2" t="s">
        <v>5</v>
      </c>
      <c r="E24" s="2" t="s">
        <v>7</v>
      </c>
      <c r="F24" s="2" t="s">
        <v>44</v>
      </c>
    </row>
    <row r="25" spans="3:6" ht="18" x14ac:dyDescent="0.45">
      <c r="C25" s="1" t="s">
        <v>0</v>
      </c>
      <c r="D25" s="1" t="s">
        <v>2</v>
      </c>
      <c r="E25" s="1" t="s">
        <v>8</v>
      </c>
      <c r="F25" s="6">
        <v>44846</v>
      </c>
    </row>
    <row r="26" spans="3:6" ht="18" x14ac:dyDescent="0.45">
      <c r="C26" s="1" t="s">
        <v>1</v>
      </c>
      <c r="D26" s="1" t="s">
        <v>2</v>
      </c>
      <c r="E26" s="1" t="s">
        <v>11</v>
      </c>
      <c r="F26" s="6">
        <v>44331</v>
      </c>
    </row>
    <row r="27" spans="3:6" ht="18" x14ac:dyDescent="0.45">
      <c r="C27" s="1" t="s">
        <v>0</v>
      </c>
      <c r="D27" s="1" t="s">
        <v>3</v>
      </c>
      <c r="E27" s="1" t="s">
        <v>9</v>
      </c>
      <c r="F27" s="6">
        <v>40188</v>
      </c>
    </row>
    <row r="28" spans="3:6" ht="18" x14ac:dyDescent="0.45">
      <c r="C28" s="1" t="s">
        <v>1</v>
      </c>
      <c r="D28" s="1" t="s">
        <v>3</v>
      </c>
      <c r="E28" s="1" t="s">
        <v>10</v>
      </c>
      <c r="F28" s="6">
        <v>44860</v>
      </c>
    </row>
    <row r="29" spans="3:6" ht="18" x14ac:dyDescent="0.45">
      <c r="C29" s="1" t="s">
        <v>0</v>
      </c>
      <c r="D29" s="1" t="s">
        <v>4</v>
      </c>
      <c r="E29" s="1" t="s">
        <v>12</v>
      </c>
      <c r="F29" s="6">
        <v>44512</v>
      </c>
    </row>
    <row r="30" spans="3:6" ht="18" x14ac:dyDescent="0.45">
      <c r="C30" s="1" t="s">
        <v>1</v>
      </c>
      <c r="D30" s="1" t="s">
        <v>4</v>
      </c>
      <c r="E30" s="1" t="s">
        <v>14</v>
      </c>
      <c r="F30" s="6">
        <v>44592</v>
      </c>
    </row>
    <row r="31" spans="3:6" ht="18" x14ac:dyDescent="0.45">
      <c r="C31" s="1" t="s">
        <v>0</v>
      </c>
      <c r="D31" s="1" t="s">
        <v>2</v>
      </c>
      <c r="E31" s="1" t="s">
        <v>13</v>
      </c>
      <c r="F31" s="6">
        <v>44925</v>
      </c>
    </row>
    <row r="32" spans="3:6" ht="18" x14ac:dyDescent="0.45">
      <c r="C32" s="1" t="s">
        <v>1</v>
      </c>
      <c r="D32" s="1" t="s">
        <v>3</v>
      </c>
      <c r="E32" s="1" t="s">
        <v>16</v>
      </c>
      <c r="F32" s="6">
        <v>44931</v>
      </c>
    </row>
    <row r="33" spans="3:6" ht="18" x14ac:dyDescent="0.45">
      <c r="C33" s="1" t="s">
        <v>1</v>
      </c>
      <c r="D33" s="1" t="s">
        <v>4</v>
      </c>
      <c r="E33" s="1" t="s">
        <v>15</v>
      </c>
      <c r="F33" s="6">
        <v>43267</v>
      </c>
    </row>
    <row r="45" spans="3:6" ht="18" x14ac:dyDescent="0.55000000000000004">
      <c r="C45" s="2" t="s">
        <v>6</v>
      </c>
      <c r="D45" s="2" t="s">
        <v>5</v>
      </c>
      <c r="E45" s="2" t="s">
        <v>7</v>
      </c>
      <c r="F45" s="2" t="s">
        <v>44</v>
      </c>
    </row>
    <row r="46" spans="3:6" ht="18" x14ac:dyDescent="0.45">
      <c r="C46" s="1" t="s">
        <v>0</v>
      </c>
      <c r="D46" s="1" t="s">
        <v>2</v>
      </c>
      <c r="E46" s="1" t="s">
        <v>8</v>
      </c>
      <c r="F46" s="6">
        <v>44846</v>
      </c>
    </row>
    <row r="47" spans="3:6" ht="18" x14ac:dyDescent="0.45">
      <c r="C47" s="1" t="s">
        <v>1</v>
      </c>
      <c r="D47" s="1" t="s">
        <v>2</v>
      </c>
      <c r="E47" s="1" t="s">
        <v>11</v>
      </c>
      <c r="F47" s="6">
        <v>44331</v>
      </c>
    </row>
    <row r="48" spans="3:6" ht="18" x14ac:dyDescent="0.45">
      <c r="C48" s="1" t="s">
        <v>0</v>
      </c>
      <c r="D48" s="1" t="s">
        <v>3</v>
      </c>
      <c r="E48" s="1" t="s">
        <v>9</v>
      </c>
      <c r="F48" s="6">
        <v>40188</v>
      </c>
    </row>
    <row r="49" spans="3:6" ht="18" x14ac:dyDescent="0.45">
      <c r="C49" s="1" t="s">
        <v>1</v>
      </c>
      <c r="D49" s="1" t="s">
        <v>3</v>
      </c>
      <c r="E49" s="1" t="s">
        <v>10</v>
      </c>
      <c r="F49" s="6">
        <v>44860</v>
      </c>
    </row>
    <row r="50" spans="3:6" ht="18" x14ac:dyDescent="0.45">
      <c r="C50" s="1" t="s">
        <v>0</v>
      </c>
      <c r="D50" s="1" t="s">
        <v>4</v>
      </c>
      <c r="E50" s="1" t="s">
        <v>12</v>
      </c>
      <c r="F50" s="6">
        <v>44512</v>
      </c>
    </row>
    <row r="51" spans="3:6" ht="18" x14ac:dyDescent="0.45">
      <c r="C51" s="1" t="s">
        <v>1</v>
      </c>
      <c r="D51" s="1" t="s">
        <v>4</v>
      </c>
      <c r="E51" s="1" t="s">
        <v>14</v>
      </c>
      <c r="F51" s="6">
        <v>44592</v>
      </c>
    </row>
    <row r="52" spans="3:6" ht="18" x14ac:dyDescent="0.45">
      <c r="C52" s="1" t="s">
        <v>0</v>
      </c>
      <c r="D52" s="1" t="s">
        <v>2</v>
      </c>
      <c r="E52" s="1" t="s">
        <v>13</v>
      </c>
      <c r="F52" s="6">
        <v>44925</v>
      </c>
    </row>
    <row r="53" spans="3:6" ht="18" x14ac:dyDescent="0.45">
      <c r="C53" s="1" t="s">
        <v>1</v>
      </c>
      <c r="D53" s="1" t="s">
        <v>3</v>
      </c>
      <c r="E53" s="1" t="s">
        <v>16</v>
      </c>
      <c r="F53" s="6">
        <v>44931</v>
      </c>
    </row>
    <row r="54" spans="3:6" ht="18" x14ac:dyDescent="0.45">
      <c r="C54" s="1" t="s">
        <v>1</v>
      </c>
      <c r="D54" s="1" t="s">
        <v>4</v>
      </c>
      <c r="E54" s="1" t="s">
        <v>15</v>
      </c>
      <c r="F54" s="6">
        <v>43267</v>
      </c>
    </row>
    <row r="71" spans="3:6" ht="18" x14ac:dyDescent="0.55000000000000004">
      <c r="C71" s="2" t="s">
        <v>6</v>
      </c>
      <c r="D71" s="2" t="s">
        <v>5</v>
      </c>
      <c r="E71" s="2" t="s">
        <v>7</v>
      </c>
      <c r="F71" s="2" t="s">
        <v>44</v>
      </c>
    </row>
    <row r="72" spans="3:6" ht="18" x14ac:dyDescent="0.45">
      <c r="C72" s="1" t="s">
        <v>0</v>
      </c>
      <c r="D72" s="1" t="s">
        <v>2</v>
      </c>
      <c r="E72" s="1" t="s">
        <v>8</v>
      </c>
      <c r="F72" s="6">
        <v>44846</v>
      </c>
    </row>
    <row r="73" spans="3:6" ht="18" x14ac:dyDescent="0.45">
      <c r="C73" s="1" t="s">
        <v>1</v>
      </c>
      <c r="D73" s="1" t="s">
        <v>2</v>
      </c>
      <c r="E73" s="1" t="s">
        <v>11</v>
      </c>
      <c r="F73" s="6">
        <v>44331</v>
      </c>
    </row>
    <row r="74" spans="3:6" ht="18" x14ac:dyDescent="0.45">
      <c r="C74" s="1" t="s">
        <v>0</v>
      </c>
      <c r="D74" s="1" t="s">
        <v>3</v>
      </c>
      <c r="E74" s="1" t="s">
        <v>9</v>
      </c>
      <c r="F74" s="6">
        <v>40188</v>
      </c>
    </row>
    <row r="75" spans="3:6" ht="18" x14ac:dyDescent="0.45">
      <c r="C75" s="1" t="s">
        <v>1</v>
      </c>
      <c r="D75" s="1" t="s">
        <v>3</v>
      </c>
      <c r="E75" s="1" t="s">
        <v>10</v>
      </c>
      <c r="F75" s="6">
        <v>44860</v>
      </c>
    </row>
    <row r="76" spans="3:6" ht="18" x14ac:dyDescent="0.45">
      <c r="C76" s="1" t="s">
        <v>0</v>
      </c>
      <c r="D76" s="1" t="s">
        <v>4</v>
      </c>
      <c r="E76" s="1" t="s">
        <v>12</v>
      </c>
      <c r="F76" s="6">
        <v>44512</v>
      </c>
    </row>
    <row r="77" spans="3:6" ht="18" x14ac:dyDescent="0.45">
      <c r="C77" s="1" t="s">
        <v>1</v>
      </c>
      <c r="D77" s="1" t="s">
        <v>4</v>
      </c>
      <c r="E77" s="1" t="s">
        <v>14</v>
      </c>
      <c r="F77" s="6">
        <v>44592</v>
      </c>
    </row>
    <row r="78" spans="3:6" ht="18" x14ac:dyDescent="0.45">
      <c r="C78" s="1" t="s">
        <v>0</v>
      </c>
      <c r="D78" s="1" t="s">
        <v>2</v>
      </c>
      <c r="E78" s="1" t="s">
        <v>13</v>
      </c>
      <c r="F78" s="6">
        <v>44925</v>
      </c>
    </row>
    <row r="79" spans="3:6" ht="18" x14ac:dyDescent="0.45">
      <c r="C79" s="1" t="s">
        <v>1</v>
      </c>
      <c r="D79" s="1" t="s">
        <v>3</v>
      </c>
      <c r="E79" s="1" t="s">
        <v>16</v>
      </c>
      <c r="F79" s="6">
        <v>44931</v>
      </c>
    </row>
    <row r="80" spans="3:6" ht="18" x14ac:dyDescent="0.45">
      <c r="C80" s="1" t="s">
        <v>1</v>
      </c>
      <c r="D80" s="1" t="s">
        <v>4</v>
      </c>
      <c r="E80" s="1" t="s">
        <v>15</v>
      </c>
      <c r="F80" s="6">
        <v>43267</v>
      </c>
    </row>
  </sheetData>
  <customSheetViews>
    <customSheetView guid="{4725FB26-BADE-478E-8CB6-C0172942A9EE}" scale="130" showGridLines="0" state="hidden" topLeftCell="B1">
      <selection activeCell="D6" sqref="D6"/>
      <pageMargins left="0.7" right="0.7" top="0.75" bottom="0.75" header="0.3" footer="0.3"/>
    </customSheetView>
    <customSheetView guid="{5B82F60B-B869-45D3-9A7D-2B843E789197}" scale="130" showGridLines="0" state="hidden" topLeftCell="B1">
      <selection activeCell="D6" sqref="D6"/>
      <pageMargins left="0.7" right="0.7" top="0.75" bottom="0.75" header="0.3" footer="0.3"/>
    </customSheetView>
    <customSheetView guid="{73745901-4C3A-49DD-83C4-0AEBB167DB63}" scale="130" showGridLines="0" state="hidden" topLeftCell="B1">
      <selection activeCell="D6" sqref="D6"/>
      <pageMargins left="0.7" right="0.7" top="0.75" bottom="0.75" header="0.3" footer="0.3"/>
    </customSheetView>
    <customSheetView guid="{AE37E6D9-7485-4A75-9115-FDBD1A6E08D0}" scale="130" showGridLines="0" state="hidden" topLeftCell="B1">
      <selection activeCell="D6" sqref="D6"/>
      <pageMargins left="0.7" right="0.7" top="0.75" bottom="0.75" header="0.3" footer="0.3"/>
    </customSheetView>
    <customSheetView guid="{28C5C254-2672-4A7F-9398-2FA6F99EE3FF}" scale="130" showGridLines="0" state="hidden" topLeftCell="B1">
      <selection activeCell="D6" sqref="D6"/>
      <pageMargins left="0.7" right="0.7" top="0.75" bottom="0.75" header="0.3" footer="0.3"/>
    </customSheetView>
    <customSheetView guid="{9967D63C-4135-4BF7-A83B-0EC0A28A8504}" scale="130" showGridLines="0" state="hidden" topLeftCell="B1">
      <selection activeCell="D6" sqref="D6"/>
      <pageMargins left="0.7" right="0.7" top="0.75" bottom="0.75" header="0.3" footer="0.3"/>
    </customSheetView>
    <customSheetView guid="{8DC39A41-9961-4A5C-8659-B8A82A01A470}" scale="130" showGridLines="0" state="hidden" topLeftCell="B1">
      <selection activeCell="D6" sqref="D6"/>
      <pageMargins left="0.7" right="0.7" top="0.75" bottom="0.75" header="0.3" footer="0.3"/>
    </customSheetView>
    <customSheetView guid="{06F040C9-291C-44DD-A11A-B2BAF2078CA1}" scale="130" showGridLines="0" state="hidden" topLeftCell="B1">
      <selection activeCell="D6" sqref="D6"/>
      <pageMargins left="0.7" right="0.7" top="0.75" bottom="0.75" header="0.3" footer="0.3"/>
    </customSheetView>
    <customSheetView guid="{AC1AC0BB-7D81-4427-80BF-DB36D3CC12C1}" scale="130" showGridLines="0" state="hidden" topLeftCell="B1">
      <selection activeCell="D6" sqref="D6"/>
      <pageMargins left="0.7" right="0.7" top="0.75" bottom="0.75" header="0.3" footer="0.3"/>
    </customSheetView>
    <customSheetView guid="{31F90F3E-FB31-437F-ADCE-44D58804C41D}" scale="130" showGridLines="0" state="hidden" topLeftCell="B1">
      <selection activeCell="D6" sqref="D6"/>
      <pageMargins left="0.7" right="0.7" top="0.75" bottom="0.75" header="0.3" footer="0.3"/>
    </customSheetView>
    <customSheetView guid="{57F7A421-8FD3-4470-813D-526D207C0AED}" scale="130" showGridLines="0" state="hidden" topLeftCell="B1">
      <selection activeCell="D6" sqref="D6"/>
      <pageMargins left="0.7" right="0.7" top="0.75" bottom="0.75" header="0.3" footer="0.3"/>
    </customSheetView>
    <customSheetView guid="{E065FC95-9F37-4AD0-A6AF-202A080459EB}" scale="130" showGridLines="0" state="hidden" topLeftCell="B1">
      <selection activeCell="D6" sqref="D6"/>
      <pageMargins left="0.7" right="0.7" top="0.75" bottom="0.75" header="0.3" footer="0.3"/>
    </customSheetView>
    <customSheetView guid="{A979108F-FF23-4967-8663-1A0C9618D854}" scale="130" showGridLines="0" state="hidden" topLeftCell="B1">
      <selection activeCell="D6" sqref="D6"/>
      <pageMargins left="0.7" right="0.7" top="0.75" bottom="0.75" header="0.3" footer="0.3"/>
    </customSheetView>
    <customSheetView guid="{AD9596A8-734D-48AD-8922-A58933E39AB8}" scale="130" showGridLines="0" state="hidden" topLeftCell="B1">
      <selection activeCell="D6" sqref="D6"/>
      <pageMargins left="0.7" right="0.7" top="0.75" bottom="0.75" header="0.3" footer="0.3"/>
    </customSheetView>
    <customSheetView guid="{DFB07116-697D-42FF-ACBD-E8FE92938B16}" scale="130" showGridLines="0" state="hidden" topLeftCell="B1">
      <selection activeCell="D6" sqref="D6"/>
      <pageMargins left="0.7" right="0.7" top="0.75" bottom="0.75" header="0.3" footer="0.3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92C1A9-1EE5-4E5F-A6D0-A6227BC79F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L_R_Mid</vt:lpstr>
      <vt:lpstr>UP_Lo_Prop</vt:lpstr>
      <vt:lpstr>TRIM-LEN</vt:lpstr>
      <vt:lpstr>Find_REP_SUBS</vt:lpstr>
      <vt:lpstr>CON_TEXJ</vt:lpstr>
      <vt:lpstr>Tafter-bef</vt:lpstr>
      <vt:lpstr>TSplit</vt:lpstr>
      <vt:lpstr>TEXT</vt:lpstr>
      <vt:lpstr>Transl</vt:lpstr>
      <vt:lpstr>assignment</vt:lpstr>
      <vt:lpstr>Substitute and Replace</vt:lpstr>
      <vt:lpstr>Date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Kadhiravan Jayachandiran</cp:lastModifiedBy>
  <dcterms:created xsi:type="dcterms:W3CDTF">2022-03-05T05:03:48Z</dcterms:created>
  <dcterms:modified xsi:type="dcterms:W3CDTF">2026-03-23T12:16:02Z</dcterms:modified>
</cp:coreProperties>
</file>